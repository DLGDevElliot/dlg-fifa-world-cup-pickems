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cket" sheetId="1" state="visible" r:id="rId3"/>
    <sheet name="Results" sheetId="2" state="hidden" r:id="rId4"/>
    <sheet name="Team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<sst xmlns="http://schemas.openxmlformats.org/spreadsheetml/2006/main" count="634" uniqueCount="230">
  <si>
    <t xml:space="preserve">2026 FIFA World Cup Pick'em Bracket</t>
  </si>
  <si>
    <t xml:space="preserve">Fill yellow pick cells from left to right. Organizer updates team names on Setup after group play.</t>
  </si>
  <si>
    <t xml:space="preserve">Name</t>
  </si>
  <si>
    <t xml:space="preserve">Jake Lish</t>
  </si>
  <si>
    <t xml:space="preserve">Score</t>
  </si>
  <si>
    <t xml:space="preserve">Points</t>
  </si>
  <si>
    <t xml:space="preserve">Total Goals Scored</t>
  </si>
  <si>
    <t xml:space="preserve">Round of 32</t>
  </si>
  <si>
    <t xml:space="preserve">Round of 16</t>
  </si>
  <si>
    <t xml:space="preserve">Quarter Finals</t>
  </si>
  <si>
    <t xml:space="preserve">Semi Finals</t>
  </si>
  <si>
    <t xml:space="preserve">Final</t>
  </si>
  <si>
    <t xml:space="preserve">World Cup Winner</t>
  </si>
  <si>
    <t xml:space="preserve">Game 1</t>
  </si>
  <si>
    <t xml:space="preserve">Germany</t>
  </si>
  <si>
    <t xml:space="preserve">Japan</t>
  </si>
  <si>
    <t xml:space="preserve">France</t>
  </si>
  <si>
    <t xml:space="preserve">Game 2</t>
  </si>
  <si>
    <t xml:space="preserve">Paraguay</t>
  </si>
  <si>
    <t xml:space="preserve">Game 3</t>
  </si>
  <si>
    <t xml:space="preserve">South Africa</t>
  </si>
  <si>
    <t xml:space="preserve">Canada</t>
  </si>
  <si>
    <t xml:space="preserve">Netherlands</t>
  </si>
  <si>
    <t xml:space="preserve">Game 4</t>
  </si>
  <si>
    <t xml:space="preserve">Morocco</t>
  </si>
  <si>
    <t xml:space="preserve">Game 5</t>
  </si>
  <si>
    <t xml:space="preserve">Uzbekistan</t>
  </si>
  <si>
    <t xml:space="preserve">Ghana</t>
  </si>
  <si>
    <t xml:space="preserve">Uruguay</t>
  </si>
  <si>
    <t xml:space="preserve">Game 6</t>
  </si>
  <si>
    <t xml:space="preserve">United States</t>
  </si>
  <si>
    <t xml:space="preserve">Algeria</t>
  </si>
  <si>
    <t xml:space="preserve">Game 7</t>
  </si>
  <si>
    <t xml:space="preserve">Game 8</t>
  </si>
  <si>
    <t xml:space="preserve">Iran</t>
  </si>
  <si>
    <t xml:space="preserve">Czechia</t>
  </si>
  <si>
    <t xml:space="preserve">Game 9</t>
  </si>
  <si>
    <t xml:space="preserve">Brazil</t>
  </si>
  <si>
    <t xml:space="preserve">Game 10</t>
  </si>
  <si>
    <t xml:space="preserve">Ivory Coast</t>
  </si>
  <si>
    <t xml:space="preserve">Senegal</t>
  </si>
  <si>
    <t xml:space="preserve">England</t>
  </si>
  <si>
    <t xml:space="preserve">Game 11</t>
  </si>
  <si>
    <t xml:space="preserve">Mexico</t>
  </si>
  <si>
    <t xml:space="preserve">Saudi Arabia</t>
  </si>
  <si>
    <t xml:space="preserve">Argentina</t>
  </si>
  <si>
    <t xml:space="preserve">Game 12</t>
  </si>
  <si>
    <t xml:space="preserve">Portugal</t>
  </si>
  <si>
    <t xml:space="preserve">Game 13</t>
  </si>
  <si>
    <t xml:space="preserve">Cape Verde</t>
  </si>
  <si>
    <t xml:space="preserve">Game 14</t>
  </si>
  <si>
    <t xml:space="preserve">Australia</t>
  </si>
  <si>
    <t xml:space="preserve">Egypt</t>
  </si>
  <si>
    <t xml:space="preserve">Game 15</t>
  </si>
  <si>
    <t xml:space="preserve">Switzerland</t>
  </si>
  <si>
    <t xml:space="preserve">Ecuador</t>
  </si>
  <si>
    <t xml:space="preserve">Norway</t>
  </si>
  <si>
    <t xml:space="preserve">Game 16</t>
  </si>
  <si>
    <t xml:space="preserve">DR Congo</t>
  </si>
  <si>
    <t xml:space="preserve">Game</t>
  </si>
  <si>
    <t xml:space="preserve">Round</t>
  </si>
  <si>
    <t xml:space="preserve">Team A</t>
  </si>
  <si>
    <t xml:space="preserve">Team B</t>
  </si>
  <si>
    <t xml:space="preserve">Actual Winner</t>
  </si>
  <si>
    <t xml:space="preserve">Actual Goals</t>
  </si>
  <si>
    <t xml:space="preserve">Points </t>
  </si>
  <si>
    <t xml:space="preserve">R32</t>
  </si>
  <si>
    <t xml:space="preserve">3rd A/B/C/D/F</t>
  </si>
  <si>
    <t xml:space="preserve">Bosnia and Herzegovina</t>
  </si>
  <si>
    <t xml:space="preserve">Croatia</t>
  </si>
  <si>
    <t xml:space="preserve">Columbia</t>
  </si>
  <si>
    <t xml:space="preserve">3rd D/E/I/J/L</t>
  </si>
  <si>
    <t xml:space="preserve">Game 17</t>
  </si>
  <si>
    <t xml:space="preserve">R16</t>
  </si>
  <si>
    <t xml:space="preserve">Game 18</t>
  </si>
  <si>
    <t xml:space="preserve">Game 19</t>
  </si>
  <si>
    <t xml:space="preserve">Game 20</t>
  </si>
  <si>
    <t xml:space="preserve">Game 21</t>
  </si>
  <si>
    <t xml:space="preserve">Game 22</t>
  </si>
  <si>
    <t xml:space="preserve">Game 23</t>
  </si>
  <si>
    <t xml:space="preserve">Game 24</t>
  </si>
  <si>
    <t xml:space="preserve">Game 25</t>
  </si>
  <si>
    <t xml:space="preserve">QF</t>
  </si>
  <si>
    <t xml:space="preserve">Game 26</t>
  </si>
  <si>
    <t xml:space="preserve">Game 27</t>
  </si>
  <si>
    <t xml:space="preserve">Game 28</t>
  </si>
  <si>
    <t xml:space="preserve">Game 29</t>
  </si>
  <si>
    <t xml:space="preserve">SF</t>
  </si>
  <si>
    <t xml:space="preserve">Game 30</t>
  </si>
  <si>
    <t xml:space="preserve">Game 31</t>
  </si>
  <si>
    <t xml:space="preserve">Workbook Checks</t>
  </si>
  <si>
    <t xml:space="preserve">Summary</t>
  </si>
  <si>
    <t xml:space="preserve">Opening Team Checks</t>
  </si>
  <si>
    <t xml:space="preserve">Game 1 Team B</t>
  </si>
  <si>
    <t xml:space="preserve">Game 4 Team A</t>
  </si>
  <si>
    <t xml:space="preserve">Game 9 Team B</t>
  </si>
  <si>
    <t xml:space="preserve">Game 2 Team A</t>
  </si>
  <si>
    <t xml:space="preserve">Game 2 Team B</t>
  </si>
  <si>
    <t xml:space="preserve">Game 10 Team A</t>
  </si>
  <si>
    <t xml:space="preserve">Game 10 Team B</t>
  </si>
  <si>
    <t xml:space="preserve">Game 11 Team B</t>
  </si>
  <si>
    <t xml:space="preserve">Game 12 Team A</t>
  </si>
  <si>
    <t xml:space="preserve">Game 12 Team B</t>
  </si>
  <si>
    <t xml:space="preserve">Game 7 Team B</t>
  </si>
  <si>
    <t xml:space="preserve">Game 8 Team A</t>
  </si>
  <si>
    <t xml:space="preserve">Game 8 Team B</t>
  </si>
  <si>
    <t xml:space="preserve">Game 5 Team A</t>
  </si>
  <si>
    <t xml:space="preserve">Game 5 Team B</t>
  </si>
  <si>
    <t xml:space="preserve">Game 6 Team A</t>
  </si>
  <si>
    <t xml:space="preserve">Game 6 Team B</t>
  </si>
  <si>
    <t xml:space="preserve">Game 15 Team B</t>
  </si>
  <si>
    <t xml:space="preserve">Game 13 Team A</t>
  </si>
  <si>
    <t xml:space="preserve">Game 13 Team B</t>
  </si>
  <si>
    <t xml:space="preserve">Game 16 Team A</t>
  </si>
  <si>
    <t xml:space="preserve">Game 16 Team B</t>
  </si>
  <si>
    <t xml:space="preserve">Game 14 Team A</t>
  </si>
  <si>
    <t xml:space="preserve">Game 14 Team B</t>
  </si>
  <si>
    <t xml:space="preserve">Game Picks Left</t>
  </si>
  <si>
    <t xml:space="preserve">South Korea</t>
  </si>
  <si>
    <t xml:space="preserve">Scotland</t>
  </si>
  <si>
    <t xml:space="preserve">Belgium</t>
  </si>
  <si>
    <t xml:space="preserve">Spain</t>
  </si>
  <si>
    <t xml:space="preserve">Pick</t>
  </si>
  <si>
    <t xml:space="preserve">Blank Flag</t>
  </si>
  <si>
    <t xml:space="preserve">Invalid Flag</t>
  </si>
  <si>
    <t xml:space="preserve">Pick Cell</t>
  </si>
  <si>
    <t xml:space="preserve">Candidate Range</t>
  </si>
  <si>
    <t xml:space="preserve">Invalid Picks</t>
  </si>
  <si>
    <t xml:space="preserve">Side</t>
  </si>
  <si>
    <t xml:space="preserve">Cell</t>
  </si>
  <si>
    <t xml:space="preserve">Selection</t>
  </si>
  <si>
    <t xml:space="preserve">Missing Flag</t>
  </si>
  <si>
    <t xml:space="preserve">Haiti</t>
  </si>
  <si>
    <t xml:space="preserve">D7</t>
  </si>
  <si>
    <t xml:space="preserve">B7:C7</t>
  </si>
  <si>
    <t xml:space="preserve">Team Picks Left</t>
  </si>
  <si>
    <t xml:space="preserve">C7</t>
  </si>
  <si>
    <t xml:space="preserve">Sweden</t>
  </si>
  <si>
    <t xml:space="preserve">Iraq</t>
  </si>
  <si>
    <t xml:space="preserve">Curacao</t>
  </si>
  <si>
    <t xml:space="preserve">Austria</t>
  </si>
  <si>
    <t xml:space="preserve">Turkey</t>
  </si>
  <si>
    <t xml:space="preserve">D9</t>
  </si>
  <si>
    <t xml:space="preserve">B9:C9</t>
  </si>
  <si>
    <t xml:space="preserve">B13</t>
  </si>
  <si>
    <t xml:space="preserve">Tunisia</t>
  </si>
  <si>
    <t xml:space="preserve">Panama</t>
  </si>
  <si>
    <t xml:space="preserve">New Zealand</t>
  </si>
  <si>
    <t xml:space="preserve">Colombia</t>
  </si>
  <si>
    <t xml:space="preserve">Jordan</t>
  </si>
  <si>
    <t xml:space="preserve">D11</t>
  </si>
  <si>
    <t xml:space="preserve">B11:C11</t>
  </si>
  <si>
    <t xml:space="preserve">C23</t>
  </si>
  <si>
    <t xml:space="preserve">D13</t>
  </si>
  <si>
    <t xml:space="preserve">B13:C13</t>
  </si>
  <si>
    <t xml:space="preserve">B9</t>
  </si>
  <si>
    <t xml:space="preserve">D15</t>
  </si>
  <si>
    <t xml:space="preserve">B15:C15</t>
  </si>
  <si>
    <t xml:space="preserve">C9</t>
  </si>
  <si>
    <t xml:space="preserve">D17</t>
  </si>
  <si>
    <t xml:space="preserve">B17:C17</t>
  </si>
  <si>
    <t xml:space="preserve">B25</t>
  </si>
  <si>
    <t xml:space="preserve">D19</t>
  </si>
  <si>
    <t xml:space="preserve">B19:C19</t>
  </si>
  <si>
    <t xml:space="preserve">C25</t>
  </si>
  <si>
    <t xml:space="preserve">D21</t>
  </si>
  <si>
    <t xml:space="preserve">B21:C21</t>
  </si>
  <si>
    <t xml:space="preserve">C27</t>
  </si>
  <si>
    <t xml:space="preserve">D23</t>
  </si>
  <si>
    <t xml:space="preserve">B23:C23</t>
  </si>
  <si>
    <t xml:space="preserve">B29</t>
  </si>
  <si>
    <t xml:space="preserve">D25</t>
  </si>
  <si>
    <t xml:space="preserve">B25:C25</t>
  </si>
  <si>
    <t xml:space="preserve">C29</t>
  </si>
  <si>
    <t xml:space="preserve">D27</t>
  </si>
  <si>
    <t xml:space="preserve">B27:C27</t>
  </si>
  <si>
    <t xml:space="preserve">C19</t>
  </si>
  <si>
    <t xml:space="preserve">D29</t>
  </si>
  <si>
    <t xml:space="preserve">B29:C29</t>
  </si>
  <si>
    <t xml:space="preserve">B21</t>
  </si>
  <si>
    <t xml:space="preserve">D31</t>
  </si>
  <si>
    <t xml:space="preserve">B31:C31</t>
  </si>
  <si>
    <t xml:space="preserve">C21</t>
  </si>
  <si>
    <t xml:space="preserve">D33</t>
  </si>
  <si>
    <t xml:space="preserve">B33:C33</t>
  </si>
  <si>
    <t xml:space="preserve">B15</t>
  </si>
  <si>
    <t xml:space="preserve">D35</t>
  </si>
  <si>
    <t xml:space="preserve">B35:C35</t>
  </si>
  <si>
    <t xml:space="preserve">C15</t>
  </si>
  <si>
    <t xml:space="preserve">D37</t>
  </si>
  <si>
    <t xml:space="preserve">B37:C37</t>
  </si>
  <si>
    <t xml:space="preserve">B17</t>
  </si>
  <si>
    <t xml:space="preserve">I8</t>
  </si>
  <si>
    <t xml:space="preserve">G8:H8</t>
  </si>
  <si>
    <t xml:space="preserve">C17</t>
  </si>
  <si>
    <t xml:space="preserve">I12</t>
  </si>
  <si>
    <t xml:space="preserve">G12:H12</t>
  </si>
  <si>
    <t xml:space="preserve">C35</t>
  </si>
  <si>
    <t xml:space="preserve">I16</t>
  </si>
  <si>
    <t xml:space="preserve">G16:H16</t>
  </si>
  <si>
    <t xml:space="preserve">B31</t>
  </si>
  <si>
    <t xml:space="preserve">I20</t>
  </si>
  <si>
    <t xml:space="preserve">G20:H20</t>
  </si>
  <si>
    <t xml:space="preserve">C31</t>
  </si>
  <si>
    <t xml:space="preserve">I24</t>
  </si>
  <si>
    <t xml:space="preserve">G24:H24</t>
  </si>
  <si>
    <t xml:space="preserve">B37</t>
  </si>
  <si>
    <t xml:space="preserve">I28</t>
  </si>
  <si>
    <t xml:space="preserve">G28:H28</t>
  </si>
  <si>
    <t xml:space="preserve">C37</t>
  </si>
  <si>
    <t xml:space="preserve">I32</t>
  </si>
  <si>
    <t xml:space="preserve">G32:H32</t>
  </si>
  <si>
    <t xml:space="preserve">B33</t>
  </si>
  <si>
    <t xml:space="preserve">I36</t>
  </si>
  <si>
    <t xml:space="preserve">G36:H36</t>
  </si>
  <si>
    <t xml:space="preserve">C33</t>
  </si>
  <si>
    <t xml:space="preserve">M10</t>
  </si>
  <si>
    <t xml:space="preserve">K10:L10</t>
  </si>
  <si>
    <t xml:space="preserve">M18</t>
  </si>
  <si>
    <t xml:space="preserve">K18:L18</t>
  </si>
  <si>
    <t xml:space="preserve">M26</t>
  </si>
  <si>
    <t xml:space="preserve">K26:L26</t>
  </si>
  <si>
    <t xml:space="preserve">M34</t>
  </si>
  <si>
    <t xml:space="preserve">K34:L34</t>
  </si>
  <si>
    <t xml:space="preserve">Q14</t>
  </si>
  <si>
    <t xml:space="preserve">O14:P14</t>
  </si>
  <si>
    <t xml:space="preserve">Q30</t>
  </si>
  <si>
    <t xml:space="preserve">O30:P30</t>
  </si>
  <si>
    <t xml:space="preserve">U22</t>
  </si>
  <si>
    <t xml:space="preserve">S22:T22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</si>
</sst>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17202A"/>
      <name val="Calibri"/>
      <family val="0"/>
      <charset val="1"/>
    </font>
    <font>
      <b val="true"/>
      <sz val="11"/>
      <color rgb="FF17202A"/>
      <name val="Calibri"/>
      <family val="0"/>
      <charset val="1"/>
    </font>
    <font>
      <b val="true"/>
      <sz val="11"/>
      <color rgb="FF0B5D3B"/>
      <name val="Calibri"/>
      <family val="0"/>
      <charset val="1"/>
    </font>
    <font>
      <b val="true"/>
      <sz val="11"/>
      <color rgb="FF1D4E8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9C5700"/>
      <name val="Calibri"/>
      <family val="2"/>
      <charset val="1"/>
    </font>
    <font>
      <sz val="11"/>
      <color rgb="FF17202A"/>
      <name val="Calibri"/>
      <family val="0"/>
      <charset val="1"/>
    </font>
    <font>
      <sz val="11"/>
      <color rgb="FF9B1C1C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EB9C"/>
        <bgColor rgb="FFFFF3C4"/>
      </patternFill>
    </fill>
    <fill>
      <patternFill patternType="solid">
        <fgColor rgb="FF0B5D3B"/>
        <bgColor rgb="FF196B24"/>
      </patternFill>
    </fill>
    <fill>
      <patternFill patternType="solid">
        <fgColor rgb="FFFFF3C4"/>
        <bgColor rgb="FFFFEB9C"/>
      </patternFill>
    </fill>
    <fill>
      <patternFill patternType="solid">
        <fgColor rgb="FFDFF3E6"/>
        <bgColor rgb="FFDDEBFF"/>
      </patternFill>
    </fill>
    <fill>
      <patternFill patternType="solid">
        <fgColor theme="6" tint="0.7999"/>
        <bgColor rgb="FFDFF3E6"/>
      </patternFill>
    </fill>
    <fill>
      <patternFill patternType="solid">
        <fgColor rgb="FFF4F6F8"/>
        <bgColor rgb="FFFFFFFF"/>
      </patternFill>
    </fill>
    <fill>
      <patternFill patternType="solid">
        <fgColor theme="2" tint="-0.25"/>
        <bgColor rgb="FFAAB4C0"/>
      </patternFill>
    </fill>
    <fill>
      <patternFill patternType="solid">
        <fgColor rgb="FFDDEBFF"/>
        <bgColor rgb="FFDFF3E6"/>
      </patternFill>
    </fill>
    <fill>
      <patternFill patternType="solid">
        <fgColor rgb="FF1D4E89"/>
        <bgColor rgb="FF156082"/>
      </patternFill>
    </fill>
    <fill>
      <patternFill patternType="solid">
        <fgColor rgb="FFFCE4E4"/>
        <bgColor rgb="FFFFF3C4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 diagonalUp="false" diagonalDown="false"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 diagonalUp="false" diagonalDown="false">
      <left style="medium">
        <color theme="1"/>
      </left>
      <right/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  <border diagonalUp="false" diagonalDown="false">
      <left/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 diagonalUp="false" diagonalDown="false">
      <left/>
      <right/>
      <top/>
      <bottom style="thin">
        <color rgb="FFAAB4C0"/>
      </bottom>
      <diagonal/>
    </border>
    <border diagonalUp="false" diagonalDown="false"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 diagonalUp="false" diagonalDown="false">
      <left/>
      <right/>
      <top style="thin">
        <color rgb="FFAAB4C0"/>
      </top>
      <bottom style="thin">
        <color rgb="FFAAB4C0"/>
      </bottom>
      <diagonal/>
    </border>
    <border diagonalUp="false" diagonalDown="false">
      <left style="medium">
        <color rgb="FF1D4E89"/>
      </left>
      <right/>
      <top style="medium">
        <color rgb="FF1D4E89"/>
      </top>
      <bottom style="medium">
        <color rgb="FF1D4E89"/>
      </bottom>
      <diagonal/>
    </border>
    <border diagonalUp="false" diagonalDown="false">
      <left style="medium">
        <color rgb="FF1D4E89"/>
      </left>
      <right style="medium">
        <color rgb="FF1D4E89"/>
      </right>
      <top style="medium">
        <color rgb="FF1D4E89"/>
      </top>
      <bottom/>
      <diagonal/>
    </border>
    <border diagonalUp="false" diagonalDown="false">
      <left style="medium">
        <color rgb="FF1D4E89"/>
      </left>
      <right style="medium"/>
      <top style="medium">
        <color rgb="FF1D4E89"/>
      </top>
      <bottom style="medium"/>
      <diagonal/>
    </border>
    <border diagonalUp="false" diagonalDown="false">
      <left style="medium">
        <color rgb="FF1D4E89"/>
      </left>
      <right/>
      <top style="medium"/>
      <bottom style="medium">
        <color rgb="FF1D4E89"/>
      </bottom>
      <diagonal/>
    </border>
    <border diagonalUp="false" diagonalDown="false"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11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96B24"/>
      <rgbColor rgb="FF000080"/>
      <rgbColor rgb="FFB48900"/>
      <rgbColor rgb="FF800080"/>
      <rgbColor rgb="FF156082"/>
      <rgbColor rgb="FFAAB4C0"/>
      <rgbColor rgb="FF808080"/>
      <rgbColor rgb="FF9999FF"/>
      <rgbColor rgb="FF9C5700"/>
      <rgbColor rgb="FFFFF3C4"/>
      <rgbColor rgb="FFDFF3E6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F"/>
      <rgbColor rgb="FFC2F1C8"/>
      <rgbColor rgb="FFFFEB9C"/>
      <rgbColor rgb="FFF4F6F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EAEAE"/>
      <rgbColor rgb="FF0B5D3B"/>
      <rgbColor rgb="FF339966"/>
      <rgbColor rgb="FF003300"/>
      <rgbColor rgb="FF333300"/>
      <rgbColor rgb="FF9B1C1C"/>
      <rgbColor rgb="FF993366"/>
      <rgbColor rgb="FF1D4E89"/>
      <rgbColor rgb="FF172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3.5" zeroHeight="false" outlineLevelRow="0" outlineLevelCol="0"/>
  <cols>
    <col collapsed="false" customWidth="true" hidden="false" outlineLevel="0" max="1" min="1" style="0" width="13.21"/>
    <col collapsed="false" customWidth="true" hidden="false" outlineLevel="0" max="3" min="2" style="0" width="23"/>
    <col collapsed="false" customWidth="true" hidden="false" outlineLevel="0" max="4" min="4" style="0" width="22"/>
    <col collapsed="false" customWidth="true" hidden="false" outlineLevel="0" max="5" min="5" style="0" width="24.21"/>
    <col collapsed="false" customWidth="true" hidden="false" outlineLevel="0" max="6" min="6" style="0" width="25.35"/>
    <col collapsed="false" customWidth="true" hidden="false" outlineLevel="0" max="7" min="7" style="0" width="2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</row>
    <row r="3" customFormat="false" ht="21.75" hidden="false" customHeight="true" outlineLevel="0" collapsed="false">
      <c r="A3" s="3" t="s">
        <v>2</v>
      </c>
      <c r="B3" s="4" t="s">
        <v>3</v>
      </c>
      <c r="C3" s="4"/>
      <c r="D3" s="4"/>
      <c r="E3" s="3" t="s">
        <v>4</v>
      </c>
      <c r="F3" s="5" t="n">
        <f aca="false">SUM(B4:F4)</f>
        <v>3.8</v>
      </c>
    </row>
    <row r="4" customFormat="false" ht="21.75" hidden="false" customHeight="true" outlineLevel="0" collapsed="false">
      <c r="A4" s="3" t="s">
        <v>5</v>
      </c>
      <c r="B4" s="6" t="n">
        <f aca="false"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1</v>
      </c>
      <c r="C4" s="7" t="n">
        <f aca="false"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0.6</v>
      </c>
      <c r="D4" s="8" t="n">
        <f aca="false">IF(D5=SUM(Results!F26:F29),1,1-ABS((D5-SUM(Results!F26:F29))*0.1))+IF(E11=Results!E26,Results!G26,0)+IF(Bracket!E19=Results!E27,Results!G27,0)+IF(Bracket!E27=Results!E28,Results!G28,0)+IF(Bracket!E35=Results!E29,Results!G29,0)</f>
        <v>0.6</v>
      </c>
      <c r="E4" s="7" t="n">
        <f aca="false">IF(E5=SUM(Results!F30:F31),1,1-ABS((E5-SUM(Results!F30:F31))*0.1))+IF(Bracket!F14=Results!E30,Results!G30,0)+IF(Bracket!F30=Results!E31,Results!G31,0)</f>
        <v>0.6</v>
      </c>
      <c r="F4" s="9" t="n">
        <f aca="false">IF(F5=SUM(Results!F32),1,1-ABS((F5-SUM(Results!F32))*0.1))+IF(G19=Results!E32,Results!G32,0)</f>
        <v>1</v>
      </c>
    </row>
    <row r="5" customFormat="false" ht="21.75" hidden="false" customHeight="true" outlineLevel="0" collapsed="false">
      <c r="A5" s="3" t="s">
        <v>6</v>
      </c>
      <c r="B5" s="10" t="n">
        <v>96</v>
      </c>
      <c r="C5" s="11" t="n">
        <v>44</v>
      </c>
      <c r="D5" s="12" t="n">
        <v>20</v>
      </c>
      <c r="E5" s="11" t="n">
        <v>8</v>
      </c>
      <c r="F5" s="13" t="n">
        <v>6</v>
      </c>
    </row>
    <row r="6" customFormat="false" ht="21.75" hidden="false" customHeight="true" outlineLevel="0" collapsed="false"/>
    <row r="7" customFormat="false" ht="21.75" hidden="false" customHeight="true" outlineLevel="0" collapsed="false"/>
    <row r="8" customFormat="false" ht="21.75" hidden="false" customHeight="true" outlineLevel="0" collapsed="false">
      <c r="A8" s="14" t="s">
        <v>7</v>
      </c>
      <c r="B8" s="14"/>
      <c r="C8" s="14" t="s">
        <v>8</v>
      </c>
      <c r="D8" s="14" t="s">
        <v>9</v>
      </c>
      <c r="E8" s="14" t="s">
        <v>10</v>
      </c>
      <c r="F8" s="14" t="s">
        <v>11</v>
      </c>
      <c r="G8" s="14" t="s">
        <v>12</v>
      </c>
    </row>
    <row r="9" customFormat="false" ht="21.75" hidden="false" customHeight="true" outlineLevel="0" collapsed="false">
      <c r="A9" s="15" t="s">
        <v>13</v>
      </c>
      <c r="B9" s="16" t="s">
        <v>14</v>
      </c>
      <c r="C9" s="17" t="s">
        <v>14</v>
      </c>
    </row>
    <row r="10" customFormat="false" ht="21.75" hidden="false" customHeight="true" outlineLevel="0" collapsed="false">
      <c r="A10" s="15"/>
      <c r="B10" s="18" t="s">
        <v>15</v>
      </c>
      <c r="D10" s="17" t="s">
        <v>16</v>
      </c>
    </row>
    <row r="11" customFormat="false" ht="21.75" hidden="false" customHeight="true" outlineLevel="0" collapsed="false">
      <c r="A11" s="19" t="s">
        <v>17</v>
      </c>
      <c r="B11" s="20" t="s">
        <v>16</v>
      </c>
      <c r="C11" s="17" t="s">
        <v>16</v>
      </c>
      <c r="E11" s="17" t="s">
        <v>16</v>
      </c>
    </row>
    <row r="12" customFormat="false" ht="21.75" hidden="false" customHeight="true" outlineLevel="0" collapsed="false">
      <c r="A12" s="19"/>
      <c r="B12" s="18" t="s">
        <v>18</v>
      </c>
      <c r="E12" s="17"/>
    </row>
    <row r="13" customFormat="false" ht="21.75" hidden="false" customHeight="true" outlineLevel="0" collapsed="false">
      <c r="A13" s="19" t="s">
        <v>19</v>
      </c>
      <c r="B13" s="16" t="s">
        <v>20</v>
      </c>
      <c r="C13" s="17" t="s">
        <v>21</v>
      </c>
      <c r="E13" s="17"/>
    </row>
    <row r="14" customFormat="false" ht="21.75" hidden="false" customHeight="true" outlineLevel="0" collapsed="false">
      <c r="A14" s="19"/>
      <c r="B14" s="16" t="s">
        <v>21</v>
      </c>
      <c r="D14" s="17" t="s">
        <v>22</v>
      </c>
      <c r="F14" s="17" t="s">
        <v>16</v>
      </c>
    </row>
    <row r="15" customFormat="false" ht="21.75" hidden="false" customHeight="true" outlineLevel="0" collapsed="false">
      <c r="A15" s="19" t="s">
        <v>23</v>
      </c>
      <c r="B15" s="16" t="str">
        <f aca="false">Results!C5</f>
        <v>Netherlands</v>
      </c>
      <c r="C15" s="17" t="s">
        <v>22</v>
      </c>
      <c r="F15" s="17"/>
    </row>
    <row r="16" customFormat="false" ht="21.75" hidden="false" customHeight="true" outlineLevel="0" collapsed="false">
      <c r="A16" s="19"/>
      <c r="B16" s="16" t="s">
        <v>24</v>
      </c>
      <c r="F16" s="17"/>
    </row>
    <row r="17" customFormat="false" ht="21.75" hidden="false" customHeight="true" outlineLevel="0" collapsed="false">
      <c r="A17" s="19" t="s">
        <v>25</v>
      </c>
      <c r="B17" s="20" t="s">
        <v>26</v>
      </c>
      <c r="C17" s="17" t="s">
        <v>27</v>
      </c>
      <c r="F17" s="17"/>
    </row>
    <row r="18" customFormat="false" ht="21.75" hidden="false" customHeight="true" outlineLevel="0" collapsed="false">
      <c r="A18" s="19"/>
      <c r="B18" s="18" t="s">
        <v>27</v>
      </c>
      <c r="D18" s="17" t="s">
        <v>28</v>
      </c>
      <c r="F18" s="17"/>
    </row>
    <row r="19" customFormat="false" ht="21.75" hidden="false" customHeight="true" outlineLevel="0" collapsed="false">
      <c r="A19" s="19" t="s">
        <v>29</v>
      </c>
      <c r="B19" s="20" t="s">
        <v>28</v>
      </c>
      <c r="C19" s="17" t="s">
        <v>28</v>
      </c>
      <c r="E19" s="17" t="s">
        <v>30</v>
      </c>
      <c r="G19" s="17" t="s">
        <v>16</v>
      </c>
    </row>
    <row r="20" customFormat="false" ht="21.75" hidden="false" customHeight="true" outlineLevel="0" collapsed="false">
      <c r="A20" s="19"/>
      <c r="B20" s="18" t="s">
        <v>31</v>
      </c>
      <c r="E20" s="17"/>
      <c r="G20" s="17"/>
    </row>
    <row r="21" customFormat="false" ht="21.75" hidden="false" customHeight="true" outlineLevel="0" collapsed="false">
      <c r="A21" s="19" t="s">
        <v>32</v>
      </c>
      <c r="B21" s="16" t="s">
        <v>30</v>
      </c>
      <c r="C21" s="17" t="s">
        <v>30</v>
      </c>
      <c r="E21" s="17"/>
      <c r="G21" s="17"/>
    </row>
    <row r="22" customFormat="false" ht="21.75" hidden="false" customHeight="true" outlineLevel="0" collapsed="false">
      <c r="A22" s="19"/>
      <c r="B22" s="16" t="str">
        <f aca="false">Results!D8</f>
        <v>Bosnia and Herzegovina</v>
      </c>
      <c r="D22" s="17" t="s">
        <v>30</v>
      </c>
      <c r="G22" s="17"/>
    </row>
    <row r="23" customFormat="false" ht="21.75" hidden="false" customHeight="true" outlineLevel="0" collapsed="false">
      <c r="A23" s="19" t="s">
        <v>33</v>
      </c>
      <c r="B23" s="20" t="s">
        <v>34</v>
      </c>
      <c r="C23" s="17" t="s">
        <v>34</v>
      </c>
      <c r="G23" s="17"/>
    </row>
    <row r="24" customFormat="false" ht="21.75" hidden="false" customHeight="true" outlineLevel="0" collapsed="false">
      <c r="A24" s="19"/>
      <c r="B24" s="18" t="s">
        <v>35</v>
      </c>
      <c r="G24" s="17"/>
    </row>
    <row r="25" customFormat="false" ht="21.75" hidden="false" customHeight="true" outlineLevel="0" collapsed="false">
      <c r="A25" s="19" t="s">
        <v>36</v>
      </c>
      <c r="B25" s="16" t="s">
        <v>37</v>
      </c>
      <c r="C25" s="17" t="s">
        <v>37</v>
      </c>
      <c r="G25" s="17"/>
    </row>
    <row r="26" customFormat="false" ht="21.75" hidden="false" customHeight="true" outlineLevel="0" collapsed="false">
      <c r="A26" s="19"/>
      <c r="B26" s="16" t="str">
        <f aca="false">Results!D10</f>
        <v>Japan</v>
      </c>
      <c r="D26" s="17" t="s">
        <v>37</v>
      </c>
      <c r="G26" s="17"/>
    </row>
    <row r="27" customFormat="false" ht="21.75" hidden="false" customHeight="true" outlineLevel="0" collapsed="false">
      <c r="A27" s="19" t="s">
        <v>38</v>
      </c>
      <c r="B27" s="16" t="s">
        <v>39</v>
      </c>
      <c r="C27" s="17" t="s">
        <v>40</v>
      </c>
      <c r="E27" s="17" t="s">
        <v>41</v>
      </c>
      <c r="G27" s="17"/>
    </row>
    <row r="28" customFormat="false" ht="21.75" hidden="false" customHeight="true" outlineLevel="0" collapsed="false">
      <c r="A28" s="19"/>
      <c r="B28" s="21" t="s">
        <v>40</v>
      </c>
      <c r="E28" s="17"/>
      <c r="G28" s="17"/>
    </row>
    <row r="29" customFormat="false" ht="21.75" hidden="false" customHeight="true" outlineLevel="0" collapsed="false">
      <c r="A29" s="19" t="s">
        <v>42</v>
      </c>
      <c r="B29" s="16" t="s">
        <v>43</v>
      </c>
      <c r="C29" s="17" t="s">
        <v>43</v>
      </c>
      <c r="E29" s="17"/>
      <c r="G29" s="17"/>
    </row>
    <row r="30" customFormat="false" ht="21.75" hidden="false" customHeight="true" outlineLevel="0" collapsed="false">
      <c r="A30" s="19"/>
      <c r="B30" s="22" t="s">
        <v>44</v>
      </c>
      <c r="D30" s="17" t="s">
        <v>41</v>
      </c>
      <c r="F30" s="17" t="s">
        <v>45</v>
      </c>
    </row>
    <row r="31" customFormat="false" ht="21.75" hidden="false" customHeight="true" outlineLevel="0" collapsed="false">
      <c r="A31" s="19" t="s">
        <v>46</v>
      </c>
      <c r="B31" s="23" t="s">
        <v>41</v>
      </c>
      <c r="C31" s="17" t="s">
        <v>41</v>
      </c>
      <c r="F31" s="17"/>
    </row>
    <row r="32" customFormat="false" ht="21.75" hidden="false" customHeight="true" outlineLevel="0" collapsed="false">
      <c r="A32" s="19"/>
      <c r="B32" s="22" t="s">
        <v>47</v>
      </c>
      <c r="F32" s="17"/>
    </row>
    <row r="33" customFormat="false" ht="21.75" hidden="false" customHeight="true" outlineLevel="0" collapsed="false">
      <c r="A33" s="19" t="s">
        <v>48</v>
      </c>
      <c r="B33" s="16" t="s">
        <v>45</v>
      </c>
      <c r="C33" s="17" t="s">
        <v>45</v>
      </c>
      <c r="F33" s="17"/>
    </row>
    <row r="34" customFormat="false" ht="21.75" hidden="false" customHeight="true" outlineLevel="0" collapsed="false">
      <c r="A34" s="19"/>
      <c r="B34" s="22" t="s">
        <v>49</v>
      </c>
      <c r="D34" s="17" t="s">
        <v>45</v>
      </c>
      <c r="F34" s="17"/>
    </row>
    <row r="35" customFormat="false" ht="21.75" hidden="false" customHeight="true" outlineLevel="0" collapsed="false">
      <c r="A35" s="19" t="s">
        <v>50</v>
      </c>
      <c r="B35" s="16" t="str">
        <f aca="false">Results!C15</f>
        <v>Australia</v>
      </c>
      <c r="C35" s="17" t="s">
        <v>51</v>
      </c>
      <c r="E35" s="17" t="s">
        <v>45</v>
      </c>
    </row>
    <row r="36" customFormat="false" ht="21.75" hidden="false" customHeight="true" outlineLevel="0" collapsed="false">
      <c r="A36" s="19"/>
      <c r="B36" s="22" t="s">
        <v>52</v>
      </c>
      <c r="E36" s="17"/>
    </row>
    <row r="37" customFormat="false" ht="21.75" hidden="false" customHeight="true" outlineLevel="0" collapsed="false">
      <c r="A37" s="19" t="s">
        <v>53</v>
      </c>
      <c r="B37" s="16" t="s">
        <v>54</v>
      </c>
      <c r="C37" s="17" t="s">
        <v>54</v>
      </c>
      <c r="E37" s="17"/>
    </row>
    <row r="38" customFormat="false" ht="21.75" hidden="false" customHeight="true" outlineLevel="0" collapsed="false">
      <c r="A38" s="19"/>
      <c r="B38" s="22" t="s">
        <v>55</v>
      </c>
      <c r="D38" s="17" t="s">
        <v>56</v>
      </c>
    </row>
    <row r="39" customFormat="false" ht="21.75" hidden="false" customHeight="true" outlineLevel="0" collapsed="false">
      <c r="A39" s="19" t="s">
        <v>57</v>
      </c>
      <c r="B39" s="23" t="s">
        <v>58</v>
      </c>
      <c r="C39" s="17" t="s">
        <v>56</v>
      </c>
    </row>
    <row r="40" customFormat="false" ht="21.75" hidden="false" customHeight="true" outlineLevel="0" collapsed="false">
      <c r="A40" s="19"/>
      <c r="B40" s="22" t="s">
        <v>56</v>
      </c>
    </row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</sheetData>
  <mergeCells count="26">
    <mergeCell ref="A1:G1"/>
    <mergeCell ref="B3:D3"/>
    <mergeCell ref="A8:B8"/>
    <mergeCell ref="A9:A10"/>
    <mergeCell ref="A11:A12"/>
    <mergeCell ref="E11:E13"/>
    <mergeCell ref="A13:A14"/>
    <mergeCell ref="F14:F18"/>
    <mergeCell ref="A15:A16"/>
    <mergeCell ref="A17:A18"/>
    <mergeCell ref="A19:A20"/>
    <mergeCell ref="E19:E21"/>
    <mergeCell ref="G19:G29"/>
    <mergeCell ref="A21:A22"/>
    <mergeCell ref="A23:A24"/>
    <mergeCell ref="A25:A26"/>
    <mergeCell ref="A27:A28"/>
    <mergeCell ref="E27:E29"/>
    <mergeCell ref="A29:A30"/>
    <mergeCell ref="F30:F34"/>
    <mergeCell ref="A31:A32"/>
    <mergeCell ref="A33:A34"/>
    <mergeCell ref="A35:A36"/>
    <mergeCell ref="E35:E37"/>
    <mergeCell ref="A37:A38"/>
    <mergeCell ref="A39:A40"/>
  </mergeCells>
  <conditionalFormatting sqref="B38:B40">
    <cfRule type="duplicateValues" priority="2" aboveAverage="0" equalAverage="0" bottom="0" percent="0" rank="0" text="" dxfId="0"/>
  </conditionalFormatting>
  <conditionalFormatting sqref="B36">
    <cfRule type="duplicateValues" priority="3" aboveAverage="0" equalAverage="0" bottom="0" percent="0" rank="0" text="" dxfId="1"/>
  </conditionalFormatting>
  <conditionalFormatting sqref="B34">
    <cfRule type="duplicateValues" priority="4" aboveAverage="0" equalAverage="0" bottom="0" percent="0" rank="0" text="" dxfId="2"/>
  </conditionalFormatting>
  <conditionalFormatting sqref="B30:B32">
    <cfRule type="duplicateValues" priority="5" aboveAverage="0" equalAverage="0" bottom="0" percent="0" rank="0" text="" dxfId="3"/>
  </conditionalFormatting>
  <conditionalFormatting sqref="B28">
    <cfRule type="duplicateValues" priority="6" aboveAverage="0" equalAverage="0" bottom="0" percent="0" rank="0" text="" dxfId="4"/>
  </conditionalFormatting>
  <conditionalFormatting sqref="B23:B24">
    <cfRule type="duplicateValues" priority="7" aboveAverage="0" equalAverage="0" bottom="0" percent="0" rank="0" text="" dxfId="5"/>
  </conditionalFormatting>
  <conditionalFormatting sqref="B17:B20">
    <cfRule type="duplicateValues" priority="8" aboveAverage="0" equalAverage="0" bottom="0" percent="0" rank="0" text="" dxfId="6"/>
  </conditionalFormatting>
  <conditionalFormatting sqref="B11:B12">
    <cfRule type="duplicateValues" priority="9" aboveAverage="0" equalAverage="0" bottom="0" percent="0" rank="0" text="" dxfId="7"/>
  </conditionalFormatting>
  <conditionalFormatting sqref="B10">
    <cfRule type="duplicateValues" priority="10" aboveAverage="0" equalAverage="0" bottom="0" percent="0" rank="0" text="" dxfId="8"/>
  </conditionalFormatting>
  <conditionalFormatting sqref="B9 B13:B16 B21:B22 B25:B27 B29 B33 B35 B37">
    <cfRule type="duplicateValues" priority="11" aboveAverage="0" equalAverage="0" bottom="0" percent="0" rank="0" text="" dxfId="9"/>
  </conditionalFormatting>
  <dataValidations count="49">
    <dataValidation allowBlank="false" errorStyle="stop" operator="between" showDropDown="false" showErrorMessage="false" showInputMessage="false" sqref="G19" type="list">
      <formula1>$F$14:$F$30</formula1>
      <formula2>0</formula2>
    </dataValidation>
    <dataValidation allowBlank="false" errorStyle="stop" operator="between" showDropDown="false" showErrorMessage="false" showInputMessage="false" sqref="F30" type="list">
      <formula1>$E$27:$E$35</formula1>
      <formula2>0</formula2>
    </dataValidation>
    <dataValidation allowBlank="false" errorStyle="stop" operator="between" showDropDown="false" showErrorMessage="false" showInputMessage="false" sqref="F14" type="list">
      <formula1>$E$11:$E$19</formula1>
      <formula2>0</formula2>
    </dataValidation>
    <dataValidation allowBlank="false" errorStyle="stop" operator="between" showDropDown="false" showErrorMessage="false" showInputMessage="false" sqref="E35" type="list">
      <formula1>$D$34:$D$38</formula1>
      <formula2>0</formula2>
    </dataValidation>
    <dataValidation allowBlank="false" errorStyle="stop" operator="between" showDropDown="false" showErrorMessage="false" showInputMessage="false" sqref="E27" type="list">
      <formula1>$D$26:$D$30</formula1>
      <formula2>0</formula2>
    </dataValidation>
    <dataValidation allowBlank="false" errorStyle="stop" operator="between" showDropDown="false" showErrorMessage="false" showInputMessage="false" sqref="E19" type="list">
      <formula1>$D$18:$D$22</formula1>
      <formula2>0</formula2>
    </dataValidation>
    <dataValidation allowBlank="false" errorStyle="stop" operator="between" showDropDown="false" showErrorMessage="false" showInputMessage="false" sqref="E11" type="list">
      <formula1>$D$10:$D$14</formula1>
      <formula2>0</formula2>
    </dataValidation>
    <dataValidation allowBlank="false" errorStyle="stop" operator="between" showDropDown="false" showErrorMessage="false" showInputMessage="false" sqref="D38" type="list">
      <formula1>$C$37:$C$39</formula1>
      <formula2>0</formula2>
    </dataValidation>
    <dataValidation allowBlank="false" errorStyle="stop" operator="between" showDropDown="false" showErrorMessage="false" showInputMessage="false" sqref="D34" type="list">
      <formula1>$C$33:$C$35</formula1>
      <formula2>0</formula2>
    </dataValidation>
    <dataValidation allowBlank="false" errorStyle="stop" operator="between" showDropDown="false" showErrorMessage="false" showInputMessage="false" sqref="D30" type="list">
      <formula1>$C$29:$C$31</formula1>
      <formula2>0</formula2>
    </dataValidation>
    <dataValidation allowBlank="false" errorStyle="stop" operator="between" showDropDown="false" showErrorMessage="false" showInputMessage="false" sqref="D26" type="list">
      <formula1>$C$25:$C$27</formula1>
      <formula2>0</formula2>
    </dataValidation>
    <dataValidation allowBlank="false" errorStyle="stop" operator="between" showDropDown="false" showErrorMessage="false" showInputMessage="false" sqref="D22" type="list">
      <formula1>$C$21:$C$23</formula1>
      <formula2>0</formula2>
    </dataValidation>
    <dataValidation allowBlank="false" errorStyle="stop" operator="between" showDropDown="false" showErrorMessage="false" showInputMessage="false" sqref="D18" type="list">
      <formula1>$C$17:$C$19</formula1>
      <formula2>0</formula2>
    </dataValidation>
    <dataValidation allowBlank="false" errorStyle="stop" operator="between" showDropDown="false" showErrorMessage="false" showInputMessage="false" sqref="D14" type="list">
      <formula1>$C$13:$C$15</formula1>
      <formula2>0</formula2>
    </dataValidation>
    <dataValidation allowBlank="false" errorStyle="stop" operator="between" showDropDown="false" showErrorMessage="false" showInputMessage="false" sqref="D10" type="list">
      <formula1>$C$9:$C$11</formula1>
      <formula2>0</formula2>
    </dataValidation>
    <dataValidation allowBlank="false" errorStyle="stop" operator="between" showDropDown="false" showErrorMessage="false" showInputMessage="false" sqref="C39" type="list">
      <formula1>$B$39:$B$40</formula1>
      <formula2>0</formula2>
    </dataValidation>
    <dataValidation allowBlank="false" errorStyle="stop" operator="between" showDropDown="false" showErrorMessage="false" showInputMessage="false" sqref="C37" type="list">
      <formula1>$B$37:$B$38</formula1>
      <formula2>0</formula2>
    </dataValidation>
    <dataValidation allowBlank="false" errorStyle="stop" operator="between" showDropDown="false" showErrorMessage="false" showInputMessage="false" sqref="C35" type="list">
      <formula1>$B$35:$B$36</formula1>
      <formula2>0</formula2>
    </dataValidation>
    <dataValidation allowBlank="false" errorStyle="stop" operator="between" showDropDown="false" showErrorMessage="false" showInputMessage="false" sqref="C33" type="list">
      <formula1>$B$33:$B$34</formula1>
      <formula2>0</formula2>
    </dataValidation>
    <dataValidation allowBlank="false" errorStyle="stop" operator="between" showDropDown="false" showErrorMessage="false" showInputMessage="false" sqref="C31" type="list">
      <formula1>$B$31:$B$32</formula1>
      <formula2>0</formula2>
    </dataValidation>
    <dataValidation allowBlank="false" errorStyle="stop" operator="between" showDropDown="false" showErrorMessage="false" showInputMessage="false" sqref="C29" type="list">
      <formula1>$B$29:$B$30</formula1>
      <formula2>0</formula2>
    </dataValidation>
    <dataValidation allowBlank="false" errorStyle="stop" operator="between" showDropDown="false" showErrorMessage="false" showInputMessage="false" sqref="C27" type="list">
      <formula1>$B$27:$B$28</formula1>
      <formula2>0</formula2>
    </dataValidation>
    <dataValidation allowBlank="false" errorStyle="stop" operator="between" showDropDown="false" showErrorMessage="false" showInputMessage="false" sqref="C25" type="list">
      <formula1>$B$25:$B$26</formula1>
      <formula2>0</formula2>
    </dataValidation>
    <dataValidation allowBlank="false" errorStyle="stop" operator="between" showDropDown="false" showErrorMessage="false" showInputMessage="false" sqref="C23" type="list">
      <formula1>$B$23:$B$24</formula1>
      <formula2>0</formula2>
    </dataValidation>
    <dataValidation allowBlank="false" errorStyle="stop" operator="between" showDropDown="false" showErrorMessage="false" showInputMessage="false" sqref="C21" type="list">
      <formula1>$B$21:$B$22</formula1>
      <formula2>0</formula2>
    </dataValidation>
    <dataValidation allowBlank="false" errorStyle="stop" operator="between" showDropDown="false" showErrorMessage="false" showInputMessage="false" sqref="C19" type="list">
      <formula1>$B$19:$B$20</formula1>
      <formula2>0</formula2>
    </dataValidation>
    <dataValidation allowBlank="false" errorStyle="stop" operator="between" showDropDown="false" showErrorMessage="false" showInputMessage="false" sqref="C17" type="list">
      <formula1>$B$17:$B$18</formula1>
      <formula2>0</formula2>
    </dataValidation>
    <dataValidation allowBlank="false" errorStyle="stop" operator="between" showDropDown="false" showErrorMessage="false" showInputMessage="false" sqref="C15" type="list">
      <formula1>$B$15:$B$16</formula1>
      <formula2>0</formula2>
    </dataValidation>
    <dataValidation allowBlank="false" errorStyle="stop" operator="between" showDropDown="false" showErrorMessage="false" showInputMessage="false" sqref="C13" type="list">
      <formula1>$B$13:$B$14</formula1>
      <formula2>0</formula2>
    </dataValidation>
    <dataValidation allowBlank="false" errorStyle="stop" operator="between" showDropDown="false" showErrorMessage="false" showInputMessage="false" sqref="C11" type="list">
      <formula1>$B$11:$B$12</formula1>
      <formula2>0</formula2>
    </dataValidation>
    <dataValidation allowBlank="false" errorStyle="stop" operator="between" showDropDown="false" showErrorMessage="false" showInputMessage="false" sqref="C9" type="list">
      <formula1>$B$9:$B$10</formula1>
      <formula2>0</formula2>
    </dataValidation>
    <dataValidation allowBlank="false" errorStyle="stop" operator="between" showDropDown="false" showErrorMessage="false" showInputMessage="false" sqref="B10" type="list">
      <formula1>Teams!$AA$2:$AA$13</formula1>
      <formula2>0</formula2>
    </dataValidation>
    <dataValidation allowBlank="false" errorStyle="stop" operator="between" showDropDown="false" showErrorMessage="false" showInputMessage="false" sqref="B11" type="list">
      <formula1>Teams!$AD$2:$AD$5</formula1>
      <formula2>0</formula2>
    </dataValidation>
    <dataValidation allowBlank="false" errorStyle="stop" operator="between" showDropDown="false" showErrorMessage="false" showInputMessage="false" sqref="B12" type="list">
      <formula1>Teams!$AE$2:$AE$18</formula1>
      <formula2>0</formula2>
    </dataValidation>
    <dataValidation allowBlank="false" errorStyle="stop" operator="between" showDropDown="false" showErrorMessage="false" showInputMessage="false" sqref="B17" type="list">
      <formula1>Teams!$AN$2:$AN$5</formula1>
      <formula2>0</formula2>
    </dataValidation>
    <dataValidation allowBlank="false" errorStyle="stop" operator="between" showDropDown="false" showErrorMessage="false" showInputMessage="false" sqref="B18" type="list">
      <formula1>Teams!$AO$2:$AO$5</formula1>
      <formula2>0</formula2>
    </dataValidation>
    <dataValidation allowBlank="false" errorStyle="stop" operator="between" showDropDown="false" showErrorMessage="false" showInputMessage="false" sqref="B19" type="list">
      <formula1>Teams!$AP$2:$AP$5</formula1>
      <formula2>0</formula2>
    </dataValidation>
    <dataValidation allowBlank="false" errorStyle="stop" operator="between" showDropDown="false" showErrorMessage="false" showInputMessage="false" sqref="B20" type="list">
      <formula1>Teams!$AQ$2:$AQ$5</formula1>
      <formula2>0</formula2>
    </dataValidation>
    <dataValidation allowBlank="false" errorStyle="stop" operator="between" showDropDown="false" showErrorMessage="false" showInputMessage="false" sqref="B23" type="list">
      <formula1>Teams!$AL$2:$AL$5</formula1>
      <formula2>0</formula2>
    </dataValidation>
    <dataValidation allowBlank="false" errorStyle="stop" operator="between" showDropDown="false" showErrorMessage="false" showInputMessage="false" sqref="B24" type="list">
      <formula1>Teams!$AM$2:$AM$18</formula1>
      <formula2>0</formula2>
    </dataValidation>
    <dataValidation allowBlank="false" errorStyle="stop" operator="between" showDropDown="false" showErrorMessage="false" showInputMessage="false" sqref="B28" type="list">
      <formula1>Teams!$AG$2:$AG$5</formula1>
      <formula2>0</formula2>
    </dataValidation>
    <dataValidation allowBlank="false" errorStyle="stop" operator="between" showDropDown="false" showErrorMessage="false" showInputMessage="false" sqref="B30" type="list">
      <formula1>Teams!$AH$2:$AH$18</formula1>
      <formula2>0</formula2>
    </dataValidation>
    <dataValidation allowBlank="false" errorStyle="stop" operator="between" showDropDown="false" showErrorMessage="false" showInputMessage="false" sqref="B31" type="list">
      <formula1>Teams!$AI$2:$AI$5</formula1>
      <formula2>0</formula2>
    </dataValidation>
    <dataValidation allowBlank="false" errorStyle="stop" operator="between" showDropDown="false" showErrorMessage="false" showInputMessage="false" sqref="B32" type="list">
      <formula1>Teams!$AJ$2:$AJ$20</formula1>
      <formula2>0</formula2>
    </dataValidation>
    <dataValidation allowBlank="false" errorStyle="stop" operator="between" showDropDown="false" showErrorMessage="false" showInputMessage="false" sqref="B34" type="list">
      <formula1>Teams!$AT$2:$AT$5</formula1>
      <formula2>0</formula2>
    </dataValidation>
    <dataValidation allowBlank="false" errorStyle="stop" operator="between" showDropDown="false" showErrorMessage="false" showInputMessage="false" sqref="B36" type="list">
      <formula1>Teams!$AX$2:$AX$5</formula1>
      <formula2>0</formula2>
    </dataValidation>
    <dataValidation allowBlank="false" errorStyle="stop" operator="between" showDropDown="false" showErrorMessage="false" showInputMessage="false" sqref="B38" type="list">
      <formula1>Teams!$AR$2:$AR$20</formula1>
      <formula2>0</formula2>
    </dataValidation>
    <dataValidation allowBlank="false" errorStyle="stop" operator="between" showDropDown="false" showErrorMessage="false" showInputMessage="false" sqref="B39" type="list">
      <formula1>Teams!$AU$2:$AU$5</formula1>
      <formula2>0</formula2>
    </dataValidation>
    <dataValidation allowBlank="false" errorStyle="stop" operator="between" showDropDown="false" showErrorMessage="false" showInputMessage="false" sqref="B40" type="list">
      <formula1>Teams!$AV$2:$AV$19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equal" id="{4D98275E-A44D-40DA-8DB8-C919E5C23E81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13" operator="equal" id="{5613D197-AE3C-414B-9CDB-401E12701A2C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14" operator="equal" id="{208687E0-C9D7-4ECC-84A5-FF1F00D0D0F6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15" operator="equal" id="{E5C68512-A2B4-4050-BF62-F2C05BA920A7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16" operator="equal" id="{D15E70C0-F0A9-4D62-B6E3-8016F713E4A4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17" operator="equal" id="{CC9868E2-80D6-49A0-A5D5-30367CBC17AB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18" operator="equal" id="{5D9BA188-F397-408E-9E84-704E20F588F9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19" operator="equal" id="{729625AA-844E-48A7-9B2A-D2788A674B4A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20" operator="equal" id="{B2DE8740-C3B9-4D3F-B5EE-E43C4ED153AA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21" operator="equal" id="{613071F0-7BB0-4EF6-BF99-34A94B7FDC2C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22" operator="equal" id="{62C36649-50E2-40B6-B758-D838152370FF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23" operator="equal" id="{B27069E6-9BF7-4F7B-8944-9F10924B19EA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4" operator="equal" id="{78B0CB56-B164-4460-AF3D-5736FC45A764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5" operator="equal" id="{146FB84E-23C2-4FE5-8464-B73F52F7B94E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6" operator="equal" id="{3B22B52B-9188-435C-9BBC-7D24357D8A4C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7" operator="equal" id="{B5395D9F-9F91-45E0-82E9-69E9B11BE8A8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8" operator="equal" id="{1BE9A675-A82D-47E4-BD29-38209787F04B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9" operator="equal" id="{BEFF7A22-C9C7-47E1-9C7C-3EDF164952F9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30" operator="equal" id="{EFF31BF7-B059-469E-B590-E8D74E74B6BC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31" operator="equal" id="{9F4372C4-6CE2-498A-9278-E9BE84D480E6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32" operator="equal" id="{5E828E2D-36AC-4D3F-9665-E8C941C7F0F6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33" operator="equal" id="{1B493BC0-38A8-4D5C-9DDC-65345F737C2D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34" operator="equal" id="{5B326660-2260-48E0-B6BA-772A8A6CF3FF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35" operator="equal" id="{DD9CF214-A813-4313-AB4F-3CA1876B7C28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36" operator="equal" id="{50765D41-56B6-4C40-ABEE-D7767AAA7B9A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37" operator="equal" id="{3B49A6CC-6E76-4BDF-9C72-49E041B8AA39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38" operator="equal" id="{4A5DA51A-7CC0-4FE9-8374-5DB04730D055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39" operator="equal" id="{3E5A78B0-CE32-4563-AF21-FCEF3A33C03D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40" operator="equal" id="{C8A65826-B637-44F5-B45E-BBB6BBB0F9BC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41" operator="equal" id="{B95AC9F7-9A7D-426E-82D9-A44381D16AA8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42" operator="equal" id="{755F587A-2A77-47BD-A922-F43BD0F0D0BF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D32" activeCellId="0" sqref="D32"/>
    </sheetView>
  </sheetViews>
  <sheetFormatPr defaultColWidth="8.6796875" defaultRowHeight="13.5" zeroHeight="false" outlineLevelRow="0" outlineLevelCol="0"/>
  <cols>
    <col collapsed="false" customWidth="true" hidden="false" outlineLevel="0" max="1" min="1" style="0" width="8.21"/>
    <col collapsed="false" customWidth="true" hidden="false" outlineLevel="0" max="2" min="2" style="0" width="6.64"/>
    <col collapsed="false" customWidth="true" hidden="false" outlineLevel="0" max="3" min="3" style="0" width="12.21"/>
    <col collapsed="false" customWidth="true" hidden="false" outlineLevel="0" max="4" min="4" style="0" width="20.64"/>
    <col collapsed="false" customWidth="true" hidden="false" outlineLevel="0" max="6" min="5" style="0" width="13.21"/>
    <col collapsed="false" customWidth="true" hidden="false" outlineLevel="0" max="7" min="7" style="0" width="6.35"/>
  </cols>
  <sheetData>
    <row r="1" customFormat="false" ht="13.8" hidden="false" customHeight="false" outlineLevel="0" collapsed="false">
      <c r="A1" s="24" t="s">
        <v>59</v>
      </c>
      <c r="B1" s="24" t="s">
        <v>60</v>
      </c>
      <c r="C1" s="24" t="s">
        <v>61</v>
      </c>
      <c r="D1" s="24" t="s">
        <v>62</v>
      </c>
      <c r="E1" s="24" t="s">
        <v>63</v>
      </c>
      <c r="F1" s="24" t="s">
        <v>64</v>
      </c>
      <c r="G1" s="24" t="s">
        <v>65</v>
      </c>
    </row>
    <row r="2" customFormat="false" ht="13.8" hidden="false" customHeight="false" outlineLevel="0" collapsed="false">
      <c r="A2" s="25" t="s">
        <v>13</v>
      </c>
      <c r="B2" s="25" t="s">
        <v>66</v>
      </c>
      <c r="C2" s="25" t="e">
        <f aca="false">IF(#REF!="","",#REF!)</f>
        <v>#REF!</v>
      </c>
      <c r="D2" s="26" t="s">
        <v>67</v>
      </c>
      <c r="E2" s="27" t="s">
        <v>14</v>
      </c>
      <c r="F2" s="27" t="n">
        <v>6</v>
      </c>
      <c r="G2" s="25" t="n">
        <f aca="false">IFERROR(INDEX(#REF!,MATCH(B2,#REF!,0)),0)</f>
        <v>0</v>
      </c>
    </row>
    <row r="3" customFormat="false" ht="13.8" hidden="false" customHeight="false" outlineLevel="0" collapsed="false">
      <c r="A3" s="25" t="s">
        <v>17</v>
      </c>
      <c r="B3" s="25" t="s">
        <v>66</v>
      </c>
      <c r="C3" s="26" t="e">
        <f aca="false">IF(#REF!="","",#REF!)</f>
        <v>#REF!</v>
      </c>
      <c r="D3" s="26" t="e">
        <f aca="false">IF(#REF!="","",#REF!)</f>
        <v>#REF!</v>
      </c>
      <c r="E3" s="27" t="s">
        <v>16</v>
      </c>
      <c r="F3" s="27" t="n">
        <v>6</v>
      </c>
      <c r="G3" s="25" t="n">
        <f aca="false">IFERROR(INDEX(#REF!,MATCH(B3,#REF!,0)),0)</f>
        <v>0</v>
      </c>
    </row>
    <row r="4" customFormat="false" ht="13.8" hidden="false" customHeight="false" outlineLevel="0" collapsed="false">
      <c r="A4" s="25" t="s">
        <v>19</v>
      </c>
      <c r="B4" s="25" t="s">
        <v>66</v>
      </c>
      <c r="C4" s="25" t="e">
        <f aca="false">IF(#REF!="","",#REF!)</f>
        <v>#REF!</v>
      </c>
      <c r="D4" s="25" t="e">
        <f aca="false">IF(#REF!="","",#REF!)</f>
        <v>#REF!</v>
      </c>
      <c r="E4" s="27" t="s">
        <v>20</v>
      </c>
      <c r="F4" s="27" t="n">
        <v>6</v>
      </c>
      <c r="G4" s="25" t="n">
        <f aca="false">IFERROR(INDEX(#REF!,MATCH(B4,#REF!,0)),0)</f>
        <v>0</v>
      </c>
    </row>
    <row r="5" customFormat="false" ht="13.8" hidden="false" customHeight="false" outlineLevel="0" collapsed="false">
      <c r="A5" s="25" t="s">
        <v>23</v>
      </c>
      <c r="B5" s="25" t="s">
        <v>66</v>
      </c>
      <c r="C5" s="25" t="s">
        <v>22</v>
      </c>
      <c r="D5" s="25" t="e">
        <f aca="false">IF(#REF!="","",#REF!)</f>
        <v>#REF!</v>
      </c>
      <c r="E5" s="27" t="s">
        <v>24</v>
      </c>
      <c r="F5" s="27" t="n">
        <v>6</v>
      </c>
      <c r="G5" s="25" t="n">
        <f aca="false">IFERROR(INDEX(#REF!,MATCH(B5,#REF!,0)),0)</f>
        <v>0</v>
      </c>
    </row>
    <row r="6" customFormat="false" ht="13.8" hidden="false" customHeight="false" outlineLevel="0" collapsed="false">
      <c r="A6" s="25" t="s">
        <v>25</v>
      </c>
      <c r="B6" s="25" t="s">
        <v>66</v>
      </c>
      <c r="C6" s="26" t="s">
        <v>47</v>
      </c>
      <c r="D6" s="26" t="e">
        <f aca="false">IF(#REF!="","",#REF!)</f>
        <v>#REF!</v>
      </c>
      <c r="E6" s="27" t="s">
        <v>27</v>
      </c>
      <c r="F6" s="27" t="n">
        <v>6</v>
      </c>
      <c r="G6" s="25" t="n">
        <f aca="false">IFERROR(INDEX(#REF!,MATCH(B6,#REF!,0)),0)</f>
        <v>0</v>
      </c>
    </row>
    <row r="7" customFormat="false" ht="13.8" hidden="false" customHeight="false" outlineLevel="0" collapsed="false">
      <c r="A7" s="25" t="s">
        <v>29</v>
      </c>
      <c r="B7" s="25" t="s">
        <v>66</v>
      </c>
      <c r="C7" s="26" t="e">
        <f aca="false">IF(#REF!="","",#REF!)</f>
        <v>#REF!</v>
      </c>
      <c r="D7" s="26" t="e">
        <f aca="false">IF(#REF!="","",#REF!)</f>
        <v>#REF!</v>
      </c>
      <c r="E7" s="27" t="s">
        <v>28</v>
      </c>
      <c r="F7" s="27" t="n">
        <v>6</v>
      </c>
      <c r="G7" s="25" t="n">
        <f aca="false">IFERROR(INDEX(#REF!,MATCH(B7,#REF!,0)),0)</f>
        <v>0</v>
      </c>
    </row>
    <row r="8" customFormat="false" ht="13.8" hidden="false" customHeight="false" outlineLevel="0" collapsed="false">
      <c r="A8" s="25" t="s">
        <v>32</v>
      </c>
      <c r="B8" s="25" t="s">
        <v>66</v>
      </c>
      <c r="C8" s="25" t="e">
        <f aca="false">IF(#REF!="","",#REF!)</f>
        <v>#REF!</v>
      </c>
      <c r="D8" s="25" t="s">
        <v>68</v>
      </c>
      <c r="E8" s="27" t="s">
        <v>30</v>
      </c>
      <c r="F8" s="27" t="n">
        <v>6</v>
      </c>
      <c r="G8" s="25" t="n">
        <f aca="false">IFERROR(INDEX(#REF!,MATCH(B8,#REF!,0)),0)</f>
        <v>0</v>
      </c>
    </row>
    <row r="9" customFormat="false" ht="13.8" hidden="false" customHeight="false" outlineLevel="0" collapsed="false">
      <c r="A9" s="25" t="s">
        <v>33</v>
      </c>
      <c r="B9" s="25" t="s">
        <v>66</v>
      </c>
      <c r="C9" s="26" t="e">
        <f aca="false">IF(#REF!="","",#REF!)</f>
        <v>#REF!</v>
      </c>
      <c r="D9" s="26" t="e">
        <f aca="false">IF(#REF!="","",#REF!)</f>
        <v>#REF!</v>
      </c>
      <c r="E9" s="27" t="s">
        <v>35</v>
      </c>
      <c r="F9" s="27" t="n">
        <v>6</v>
      </c>
      <c r="G9" s="25" t="n">
        <f aca="false">IFERROR(INDEX(#REF!,MATCH(B9,#REF!,0)),0)</f>
        <v>0</v>
      </c>
    </row>
    <row r="10" customFormat="false" ht="13.8" hidden="false" customHeight="false" outlineLevel="0" collapsed="false">
      <c r="A10" s="25" t="s">
        <v>36</v>
      </c>
      <c r="B10" s="25" t="s">
        <v>66</v>
      </c>
      <c r="C10" s="25" t="e">
        <f aca="false">IF(#REF!="","",#REF!)</f>
        <v>#REF!</v>
      </c>
      <c r="D10" s="25" t="s">
        <v>15</v>
      </c>
      <c r="E10" s="27" t="s">
        <v>37</v>
      </c>
      <c r="F10" s="27" t="n">
        <v>6</v>
      </c>
      <c r="G10" s="25" t="n">
        <f aca="false">IFERROR(INDEX(#REF!,MATCH(B10,#REF!,0)),0)</f>
        <v>0</v>
      </c>
    </row>
    <row r="11" customFormat="false" ht="13.8" hidden="false" customHeight="false" outlineLevel="0" collapsed="false">
      <c r="A11" s="25" t="s">
        <v>38</v>
      </c>
      <c r="B11" s="25" t="s">
        <v>66</v>
      </c>
      <c r="C11" s="25" t="e">
        <f aca="false">IF(#REF!="","",#REF!)</f>
        <v>#REF!</v>
      </c>
      <c r="D11" s="26" t="e">
        <f aca="false">IF(#REF!="","",#REF!)</f>
        <v>#REF!</v>
      </c>
      <c r="E11" s="27" t="s">
        <v>40</v>
      </c>
      <c r="F11" s="27" t="n">
        <v>6</v>
      </c>
      <c r="G11" s="25" t="n">
        <f aca="false">IFERROR(INDEX(#REF!,MATCH(B11,#REF!,0)),0)</f>
        <v>0</v>
      </c>
    </row>
    <row r="12" customFormat="false" ht="13.8" hidden="false" customHeight="false" outlineLevel="0" collapsed="false">
      <c r="A12" s="25" t="s">
        <v>42</v>
      </c>
      <c r="B12" s="25" t="s">
        <v>66</v>
      </c>
      <c r="C12" s="25" t="e">
        <f aca="false">IF(#REF!="","",#REF!)</f>
        <v>#REF!</v>
      </c>
      <c r="D12" s="26" t="e">
        <f aca="false">IF(#REF!="","",#REF!)</f>
        <v>#REF!</v>
      </c>
      <c r="E12" s="27" t="s">
        <v>43</v>
      </c>
      <c r="F12" s="27" t="n">
        <v>6</v>
      </c>
      <c r="G12" s="25" t="n">
        <f aca="false">IFERROR(INDEX(#REF!,MATCH(B12,#REF!,0)),0)</f>
        <v>0</v>
      </c>
    </row>
    <row r="13" customFormat="false" ht="13.8" hidden="false" customHeight="false" outlineLevel="0" collapsed="false">
      <c r="A13" s="25" t="s">
        <v>46</v>
      </c>
      <c r="B13" s="25" t="s">
        <v>66</v>
      </c>
      <c r="C13" s="26" t="e">
        <f aca="false">IF(#REF!="","",#REF!)</f>
        <v>#REF!</v>
      </c>
      <c r="D13" s="26" t="s">
        <v>58</v>
      </c>
      <c r="E13" s="27" t="s">
        <v>69</v>
      </c>
      <c r="F13" s="27" t="n">
        <v>6</v>
      </c>
      <c r="G13" s="25" t="n">
        <f aca="false">IFERROR(INDEX(#REF!,MATCH(B13,#REF!,0)),0)</f>
        <v>0</v>
      </c>
    </row>
    <row r="14" customFormat="false" ht="13.8" hidden="false" customHeight="false" outlineLevel="0" collapsed="false">
      <c r="A14" s="25" t="s">
        <v>48</v>
      </c>
      <c r="B14" s="25" t="s">
        <v>66</v>
      </c>
      <c r="C14" s="25" t="e">
        <f aca="false">IF(#REF!="","",#REF!)</f>
        <v>#REF!</v>
      </c>
      <c r="D14" s="26" t="e">
        <f aca="false">IF(#REF!="","",#REF!)</f>
        <v>#REF!</v>
      </c>
      <c r="E14" s="27" t="s">
        <v>49</v>
      </c>
      <c r="F14" s="27" t="n">
        <v>6</v>
      </c>
      <c r="G14" s="25" t="n">
        <f aca="false">IFERROR(INDEX(#REF!,MATCH(B14,#REF!,0)),0)</f>
        <v>0</v>
      </c>
    </row>
    <row r="15" customFormat="false" ht="13.8" hidden="false" customHeight="false" outlineLevel="0" collapsed="false">
      <c r="A15" s="25" t="s">
        <v>50</v>
      </c>
      <c r="B15" s="25" t="s">
        <v>66</v>
      </c>
      <c r="C15" s="25" t="s">
        <v>51</v>
      </c>
      <c r="D15" s="26" t="e">
        <f aca="false">IF(#REF!="","",#REF!)</f>
        <v>#REF!</v>
      </c>
      <c r="E15" s="27" t="s">
        <v>51</v>
      </c>
      <c r="F15" s="27" t="n">
        <v>6</v>
      </c>
      <c r="G15" s="25" t="n">
        <f aca="false">IFERROR(INDEX(#REF!,MATCH(B15,#REF!,0)),0)</f>
        <v>0</v>
      </c>
    </row>
    <row r="16" customFormat="false" ht="13.8" hidden="false" customHeight="false" outlineLevel="0" collapsed="false">
      <c r="A16" s="25" t="s">
        <v>53</v>
      </c>
      <c r="B16" s="25" t="s">
        <v>66</v>
      </c>
      <c r="C16" s="25" t="e">
        <f aca="false">IF(#REF!="","",#REF!)</f>
        <v>#REF!</v>
      </c>
      <c r="D16" s="26" t="e">
        <f aca="false">IF(#REF!="","",#REF!)</f>
        <v>#REF!</v>
      </c>
      <c r="E16" s="27" t="s">
        <v>54</v>
      </c>
      <c r="F16" s="27" t="n">
        <v>6</v>
      </c>
      <c r="G16" s="25" t="n">
        <f aca="false">IFERROR(INDEX(#REF!,MATCH(B16,#REF!,0)),0)</f>
        <v>0</v>
      </c>
    </row>
    <row r="17" customFormat="false" ht="13.8" hidden="false" customHeight="false" outlineLevel="0" collapsed="false">
      <c r="A17" s="25" t="s">
        <v>57</v>
      </c>
      <c r="B17" s="25" t="s">
        <v>66</v>
      </c>
      <c r="C17" s="26" t="s">
        <v>70</v>
      </c>
      <c r="D17" s="26" t="s">
        <v>71</v>
      </c>
      <c r="E17" s="27" t="s">
        <v>70</v>
      </c>
      <c r="F17" s="27" t="n">
        <v>6</v>
      </c>
      <c r="G17" s="25" t="n">
        <f aca="false">IFERROR(INDEX(#REF!,MATCH(B17,#REF!,0)),0)</f>
        <v>0</v>
      </c>
    </row>
    <row r="18" customFormat="false" ht="13.8" hidden="false" customHeight="false" outlineLevel="0" collapsed="false">
      <c r="A18" s="25" t="s">
        <v>72</v>
      </c>
      <c r="B18" s="25" t="s">
        <v>73</v>
      </c>
      <c r="C18" s="25" t="str">
        <f aca="false">E2</f>
        <v>Germany</v>
      </c>
      <c r="D18" s="25" t="str">
        <f aca="false">E3</f>
        <v>France</v>
      </c>
      <c r="E18" s="27" t="s">
        <v>14</v>
      </c>
      <c r="F18" s="27" t="n">
        <v>6</v>
      </c>
      <c r="G18" s="25" t="n">
        <f aca="false">IFERROR(INDEX(#REF!,MATCH(B18,#REF!,0)),0)</f>
        <v>0</v>
      </c>
    </row>
    <row r="19" customFormat="false" ht="13.8" hidden="false" customHeight="false" outlineLevel="0" collapsed="false">
      <c r="A19" s="25" t="s">
        <v>74</v>
      </c>
      <c r="B19" s="25" t="s">
        <v>73</v>
      </c>
      <c r="C19" s="25" t="str">
        <f aca="false">E4</f>
        <v>South Africa</v>
      </c>
      <c r="D19" s="25" t="str">
        <f aca="false">E5</f>
        <v>Morocco</v>
      </c>
      <c r="E19" s="27" t="s">
        <v>20</v>
      </c>
      <c r="F19" s="27" t="n">
        <v>6</v>
      </c>
      <c r="G19" s="25" t="n">
        <f aca="false">IFERROR(INDEX(#REF!,MATCH(B19,#REF!,0)),0)</f>
        <v>0</v>
      </c>
    </row>
    <row r="20" customFormat="false" ht="13.8" hidden="false" customHeight="false" outlineLevel="0" collapsed="false">
      <c r="A20" s="25" t="s">
        <v>75</v>
      </c>
      <c r="B20" s="25" t="s">
        <v>73</v>
      </c>
      <c r="C20" s="25" t="str">
        <f aca="false">E6</f>
        <v>Ghana</v>
      </c>
      <c r="D20" s="25" t="str">
        <f aca="false">E7</f>
        <v>Uruguay</v>
      </c>
      <c r="E20" s="27" t="s">
        <v>27</v>
      </c>
      <c r="F20" s="27" t="n">
        <v>6</v>
      </c>
      <c r="G20" s="25" t="n">
        <f aca="false">IFERROR(INDEX(#REF!,MATCH(B20,#REF!,0)),0)</f>
        <v>0</v>
      </c>
    </row>
    <row r="21" customFormat="false" ht="13.8" hidden="false" customHeight="false" outlineLevel="0" collapsed="false">
      <c r="A21" s="25" t="s">
        <v>76</v>
      </c>
      <c r="B21" s="25" t="s">
        <v>73</v>
      </c>
      <c r="C21" s="25" t="str">
        <f aca="false">E8</f>
        <v>United States</v>
      </c>
      <c r="D21" s="25" t="str">
        <f aca="false">E9</f>
        <v>Czechia</v>
      </c>
      <c r="E21" s="27" t="s">
        <v>30</v>
      </c>
      <c r="F21" s="27" t="n">
        <v>6</v>
      </c>
      <c r="G21" s="25" t="n">
        <f aca="false">IFERROR(INDEX(#REF!,MATCH(B21,#REF!,0)),0)</f>
        <v>0</v>
      </c>
    </row>
    <row r="22" customFormat="false" ht="13.8" hidden="false" customHeight="false" outlineLevel="0" collapsed="false">
      <c r="A22" s="25" t="s">
        <v>77</v>
      </c>
      <c r="B22" s="25" t="s">
        <v>73</v>
      </c>
      <c r="C22" s="25" t="str">
        <f aca="false">E10</f>
        <v>Brazil</v>
      </c>
      <c r="D22" s="25" t="str">
        <f aca="false">E11</f>
        <v>Senegal</v>
      </c>
      <c r="E22" s="27" t="s">
        <v>37</v>
      </c>
      <c r="F22" s="27" t="n">
        <v>6</v>
      </c>
      <c r="G22" s="25" t="n">
        <f aca="false">IFERROR(INDEX(#REF!,MATCH(B22,#REF!,0)),0)</f>
        <v>0</v>
      </c>
    </row>
    <row r="23" customFormat="false" ht="13.8" hidden="false" customHeight="false" outlineLevel="0" collapsed="false">
      <c r="A23" s="25" t="s">
        <v>78</v>
      </c>
      <c r="B23" s="25" t="s">
        <v>73</v>
      </c>
      <c r="C23" s="25" t="str">
        <f aca="false">E12</f>
        <v>Mexico</v>
      </c>
      <c r="D23" s="25" t="str">
        <f aca="false">E13</f>
        <v>Croatia</v>
      </c>
      <c r="E23" s="27" t="s">
        <v>43</v>
      </c>
      <c r="F23" s="27" t="n">
        <v>6</v>
      </c>
      <c r="G23" s="25" t="n">
        <f aca="false">IFERROR(INDEX(#REF!,MATCH(B23,#REF!,0)),0)</f>
        <v>0</v>
      </c>
    </row>
    <row r="24" customFormat="false" ht="13.8" hidden="false" customHeight="false" outlineLevel="0" collapsed="false">
      <c r="A24" s="25" t="s">
        <v>79</v>
      </c>
      <c r="B24" s="25" t="s">
        <v>73</v>
      </c>
      <c r="C24" s="25" t="str">
        <f aca="false">E14</f>
        <v>Cape Verde</v>
      </c>
      <c r="D24" s="25" t="str">
        <f aca="false">E15</f>
        <v>Australia</v>
      </c>
      <c r="E24" s="27" t="s">
        <v>49</v>
      </c>
      <c r="F24" s="27" t="n">
        <v>6</v>
      </c>
      <c r="G24" s="25" t="n">
        <f aca="false">IFERROR(INDEX(#REF!,MATCH(B24,#REF!,0)),0)</f>
        <v>0</v>
      </c>
    </row>
    <row r="25" customFormat="false" ht="13.8" hidden="false" customHeight="false" outlineLevel="0" collapsed="false">
      <c r="A25" s="25" t="s">
        <v>80</v>
      </c>
      <c r="B25" s="25" t="s">
        <v>73</v>
      </c>
      <c r="C25" s="25" t="str">
        <f aca="false">E16</f>
        <v>Switzerland</v>
      </c>
      <c r="D25" s="25" t="str">
        <f aca="false">E17</f>
        <v>Columbia</v>
      </c>
      <c r="E25" s="27" t="s">
        <v>54</v>
      </c>
      <c r="F25" s="27" t="n">
        <v>6</v>
      </c>
      <c r="G25" s="25" t="n">
        <f aca="false">IFERROR(INDEX(#REF!,MATCH(B25,#REF!,0)),0)</f>
        <v>0</v>
      </c>
    </row>
    <row r="26" customFormat="false" ht="13.8" hidden="false" customHeight="false" outlineLevel="0" collapsed="false">
      <c r="A26" s="25" t="s">
        <v>81</v>
      </c>
      <c r="B26" s="25" t="s">
        <v>82</v>
      </c>
      <c r="C26" s="25" t="str">
        <f aca="false">E18</f>
        <v>Germany</v>
      </c>
      <c r="D26" s="25" t="str">
        <f aca="false">E19</f>
        <v>South Africa</v>
      </c>
      <c r="E26" s="27" t="s">
        <v>14</v>
      </c>
      <c r="F26" s="27" t="n">
        <v>6</v>
      </c>
      <c r="G26" s="25" t="n">
        <f aca="false">IFERROR(INDEX(#REF!,MATCH(B26,#REF!,0)),0)</f>
        <v>0</v>
      </c>
    </row>
    <row r="27" customFormat="false" ht="13.8" hidden="false" customHeight="false" outlineLevel="0" collapsed="false">
      <c r="A27" s="25" t="s">
        <v>83</v>
      </c>
      <c r="B27" s="25" t="s">
        <v>82</v>
      </c>
      <c r="C27" s="25" t="str">
        <f aca="false">E20</f>
        <v>Ghana</v>
      </c>
      <c r="D27" s="25" t="str">
        <f aca="false">E21</f>
        <v>United States</v>
      </c>
      <c r="E27" s="27" t="s">
        <v>27</v>
      </c>
      <c r="F27" s="27" t="n">
        <v>6</v>
      </c>
      <c r="G27" s="25" t="n">
        <f aca="false">IFERROR(INDEX(#REF!,MATCH(B27,#REF!,0)),0)</f>
        <v>0</v>
      </c>
    </row>
    <row r="28" customFormat="false" ht="13.8" hidden="false" customHeight="false" outlineLevel="0" collapsed="false">
      <c r="A28" s="25" t="s">
        <v>84</v>
      </c>
      <c r="B28" s="25" t="s">
        <v>82</v>
      </c>
      <c r="C28" s="25" t="str">
        <f aca="false">E22</f>
        <v>Brazil</v>
      </c>
      <c r="D28" s="25" t="str">
        <f aca="false">E23</f>
        <v>Mexico</v>
      </c>
      <c r="E28" s="27" t="s">
        <v>37</v>
      </c>
      <c r="F28" s="27" t="n">
        <v>6</v>
      </c>
      <c r="G28" s="25" t="n">
        <f aca="false">IFERROR(INDEX(#REF!,MATCH(B28,#REF!,0)),0)</f>
        <v>0</v>
      </c>
    </row>
    <row r="29" customFormat="false" ht="13.8" hidden="false" customHeight="false" outlineLevel="0" collapsed="false">
      <c r="A29" s="25" t="s">
        <v>85</v>
      </c>
      <c r="B29" s="25" t="s">
        <v>82</v>
      </c>
      <c r="C29" s="25" t="str">
        <f aca="false">E24</f>
        <v>Cape Verde</v>
      </c>
      <c r="D29" s="25" t="str">
        <f aca="false">E25</f>
        <v>Switzerland</v>
      </c>
      <c r="E29" s="27" t="s">
        <v>49</v>
      </c>
      <c r="F29" s="27" t="n">
        <v>6</v>
      </c>
      <c r="G29" s="25" t="n">
        <f aca="false">IFERROR(INDEX(#REF!,MATCH(B29,#REF!,0)),0)</f>
        <v>0</v>
      </c>
    </row>
    <row r="30" customFormat="false" ht="13.8" hidden="false" customHeight="false" outlineLevel="0" collapsed="false">
      <c r="A30" s="25" t="s">
        <v>86</v>
      </c>
      <c r="B30" s="25" t="s">
        <v>87</v>
      </c>
      <c r="C30" s="25" t="str">
        <f aca="false">E26</f>
        <v>Germany</v>
      </c>
      <c r="D30" s="25" t="str">
        <f aca="false">E27</f>
        <v>Ghana</v>
      </c>
      <c r="E30" s="27" t="s">
        <v>14</v>
      </c>
      <c r="F30" s="27" t="n">
        <v>6</v>
      </c>
      <c r="G30" s="25" t="n">
        <f aca="false">IFERROR(INDEX(#REF!,MATCH(B30,#REF!,0)),0)</f>
        <v>0</v>
      </c>
    </row>
    <row r="31" customFormat="false" ht="13.8" hidden="false" customHeight="false" outlineLevel="0" collapsed="false">
      <c r="A31" s="25" t="s">
        <v>88</v>
      </c>
      <c r="B31" s="25" t="s">
        <v>87</v>
      </c>
      <c r="C31" s="25" t="str">
        <f aca="false">E28</f>
        <v>Brazil</v>
      </c>
      <c r="D31" s="25" t="str">
        <f aca="false">E29</f>
        <v>Cape Verde</v>
      </c>
      <c r="E31" s="27" t="s">
        <v>37</v>
      </c>
      <c r="F31" s="27" t="n">
        <v>6</v>
      </c>
      <c r="G31" s="25" t="n">
        <f aca="false">IFERROR(INDEX(#REF!,MATCH(B31,#REF!,0)),0)</f>
        <v>0</v>
      </c>
    </row>
    <row r="32" customFormat="false" ht="13.8" hidden="false" customHeight="false" outlineLevel="0" collapsed="false">
      <c r="A32" s="25" t="s">
        <v>89</v>
      </c>
      <c r="B32" s="25" t="s">
        <v>11</v>
      </c>
      <c r="C32" s="25" t="str">
        <f aca="false">E30</f>
        <v>Germany</v>
      </c>
      <c r="D32" s="25" t="str">
        <f aca="false">E31</f>
        <v>Brazil</v>
      </c>
      <c r="E32" s="27" t="s">
        <v>14</v>
      </c>
      <c r="F32" s="27" t="n">
        <v>6</v>
      </c>
      <c r="G32" s="25" t="n">
        <f aca="false">IFERROR(INDEX(#REF!,MATCH(B32,#REF!,0)),0)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36"/>
  <sheetViews>
    <sheetView showFormulas="false" showGridLines="false" showRowColHeaders="true" showZeros="true" rightToLeft="false" tabSelected="false" showOutlineSymbols="true" defaultGridColor="true" view="normal" topLeftCell="AE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24"/>
    <col collapsed="false" customWidth="true" hidden="false" outlineLevel="0" max="8" min="6" style="0" width="12"/>
    <col collapsed="false" customWidth="true" hidden="false" outlineLevel="0" max="9" min="9" style="0" width="18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5" min="13" style="0" width="10"/>
    <col collapsed="false" customWidth="true" hidden="false" outlineLevel="0" max="16" min="16" style="0" width="12"/>
    <col collapsed="false" customWidth="true" hidden="false" outlineLevel="0" max="17" min="17" style="0" width="24"/>
    <col collapsed="false" customWidth="true" hidden="false" outlineLevel="0" max="18" min="18" style="0" width="12"/>
    <col collapsed="false" customWidth="true" hidden="false" outlineLevel="0" max="50" min="27" style="0" width="24"/>
  </cols>
  <sheetData>
    <row r="1" customFormat="false" ht="13.5" hidden="false" customHeight="false" outlineLevel="0" collapsed="false">
      <c r="A1" s="28" t="s">
        <v>90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91</v>
      </c>
      <c r="L1" s="28"/>
      <c r="M1" s="28"/>
      <c r="N1" s="28" t="s">
        <v>92</v>
      </c>
      <c r="O1" s="28"/>
      <c r="P1" s="28"/>
      <c r="Q1" s="28"/>
      <c r="R1" s="28"/>
      <c r="AA1" s="29" t="s">
        <v>93</v>
      </c>
      <c r="AB1" s="29" t="s">
        <v>94</v>
      </c>
      <c r="AC1" s="29" t="s">
        <v>95</v>
      </c>
      <c r="AD1" s="29" t="s">
        <v>96</v>
      </c>
      <c r="AE1" s="29" t="s">
        <v>97</v>
      </c>
      <c r="AF1" s="29" t="s">
        <v>98</v>
      </c>
      <c r="AG1" s="29" t="s">
        <v>99</v>
      </c>
      <c r="AH1" s="29" t="s">
        <v>100</v>
      </c>
      <c r="AI1" s="29" t="s">
        <v>101</v>
      </c>
      <c r="AJ1" s="29" t="s">
        <v>102</v>
      </c>
      <c r="AK1" s="29" t="s">
        <v>103</v>
      </c>
      <c r="AL1" s="29" t="s">
        <v>104</v>
      </c>
      <c r="AM1" s="29" t="s">
        <v>105</v>
      </c>
      <c r="AN1" s="29" t="s">
        <v>106</v>
      </c>
      <c r="AO1" s="29" t="s">
        <v>107</v>
      </c>
      <c r="AP1" s="29" t="s">
        <v>108</v>
      </c>
      <c r="AQ1" s="29" t="s">
        <v>109</v>
      </c>
      <c r="AR1" s="29" t="s">
        <v>110</v>
      </c>
      <c r="AS1" s="29" t="s">
        <v>111</v>
      </c>
      <c r="AT1" s="29" t="s">
        <v>112</v>
      </c>
      <c r="AU1" s="29" t="s">
        <v>113</v>
      </c>
      <c r="AV1" s="29" t="s">
        <v>114</v>
      </c>
      <c r="AW1" s="29" t="s">
        <v>115</v>
      </c>
      <c r="AX1" s="29" t="s">
        <v>116</v>
      </c>
    </row>
    <row r="2" customFormat="false" ht="13.5" hidden="false" customHeight="false" outlineLevel="0" collapsed="false">
      <c r="K2" s="0" t="s">
        <v>117</v>
      </c>
      <c r="L2" s="0" t="e">
        <f aca="false">SUM(F4:F34)</f>
        <v>#REF!</v>
      </c>
      <c r="AA2" s="29" t="s">
        <v>118</v>
      </c>
      <c r="AB2" s="29" t="s">
        <v>22</v>
      </c>
      <c r="AC2" s="29" t="s">
        <v>22</v>
      </c>
      <c r="AD2" s="29" t="s">
        <v>16</v>
      </c>
      <c r="AE2" s="29" t="s">
        <v>119</v>
      </c>
      <c r="AF2" s="29" t="s">
        <v>39</v>
      </c>
      <c r="AG2" s="29" t="s">
        <v>16</v>
      </c>
      <c r="AH2" s="29" t="s">
        <v>119</v>
      </c>
      <c r="AI2" s="29" t="s">
        <v>41</v>
      </c>
      <c r="AJ2" s="29" t="s">
        <v>39</v>
      </c>
      <c r="AK2" s="29" t="s">
        <v>68</v>
      </c>
      <c r="AL2" s="29" t="s">
        <v>120</v>
      </c>
      <c r="AM2" s="29" t="s">
        <v>118</v>
      </c>
      <c r="AN2" s="29" t="s">
        <v>47</v>
      </c>
      <c r="AO2" s="29" t="s">
        <v>41</v>
      </c>
      <c r="AP2" s="29" t="s">
        <v>121</v>
      </c>
      <c r="AQ2" s="29" t="s">
        <v>45</v>
      </c>
      <c r="AR2" s="29" t="s">
        <v>39</v>
      </c>
      <c r="AS2" s="29" t="s">
        <v>45</v>
      </c>
      <c r="AT2" s="29" t="s">
        <v>121</v>
      </c>
      <c r="AU2" s="29" t="s">
        <v>47</v>
      </c>
      <c r="AV2" s="29" t="s">
        <v>18</v>
      </c>
      <c r="AW2" s="29" t="s">
        <v>18</v>
      </c>
      <c r="AX2" s="29" t="s">
        <v>120</v>
      </c>
    </row>
    <row r="3" customFormat="false" ht="13.5" hidden="false" customHeight="false" outlineLevel="0" collapsed="false">
      <c r="A3" s="24" t="s">
        <v>59</v>
      </c>
      <c r="B3" s="24" t="s">
        <v>60</v>
      </c>
      <c r="C3" s="24" t="s">
        <v>61</v>
      </c>
      <c r="D3" s="24" t="s">
        <v>62</v>
      </c>
      <c r="E3" s="24" t="s">
        <v>122</v>
      </c>
      <c r="F3" s="24" t="s">
        <v>123</v>
      </c>
      <c r="G3" s="24" t="s">
        <v>124</v>
      </c>
      <c r="H3" s="24" t="s">
        <v>125</v>
      </c>
      <c r="I3" s="24" t="s">
        <v>126</v>
      </c>
      <c r="J3" s="25"/>
      <c r="K3" s="25" t="s">
        <v>127</v>
      </c>
      <c r="L3" s="25" t="e">
        <f aca="false">SUM(G4:G34)</f>
        <v>#REF!</v>
      </c>
      <c r="M3" s="25"/>
      <c r="N3" s="24" t="s">
        <v>59</v>
      </c>
      <c r="O3" s="24" t="s">
        <v>128</v>
      </c>
      <c r="P3" s="24" t="s">
        <v>129</v>
      </c>
      <c r="Q3" s="24" t="s">
        <v>130</v>
      </c>
      <c r="R3" s="24" t="s">
        <v>131</v>
      </c>
      <c r="AA3" s="29" t="s">
        <v>35</v>
      </c>
      <c r="AB3" s="29" t="s">
        <v>15</v>
      </c>
      <c r="AC3" s="29" t="s">
        <v>15</v>
      </c>
      <c r="AD3" s="29" t="s">
        <v>40</v>
      </c>
      <c r="AE3" s="29" t="s">
        <v>132</v>
      </c>
      <c r="AF3" s="29" t="s">
        <v>55</v>
      </c>
      <c r="AG3" s="29" t="s">
        <v>40</v>
      </c>
      <c r="AH3" s="29" t="s">
        <v>132</v>
      </c>
      <c r="AI3" s="29" t="s">
        <v>69</v>
      </c>
      <c r="AJ3" s="29" t="s">
        <v>55</v>
      </c>
      <c r="AK3" s="29" t="s">
        <v>39</v>
      </c>
      <c r="AL3" s="29" t="s">
        <v>52</v>
      </c>
      <c r="AM3" s="29" t="s">
        <v>35</v>
      </c>
      <c r="AN3" s="29" t="s">
        <v>58</v>
      </c>
      <c r="AO3" s="29" t="s">
        <v>69</v>
      </c>
      <c r="AP3" s="29" t="s">
        <v>49</v>
      </c>
      <c r="AQ3" s="29" t="s">
        <v>31</v>
      </c>
      <c r="AR3" s="29" t="s">
        <v>55</v>
      </c>
      <c r="AS3" s="29" t="s">
        <v>31</v>
      </c>
      <c r="AT3" s="29" t="s">
        <v>49</v>
      </c>
      <c r="AU3" s="29" t="s">
        <v>58</v>
      </c>
      <c r="AV3" s="29" t="s">
        <v>51</v>
      </c>
      <c r="AW3" s="29" t="s">
        <v>51</v>
      </c>
      <c r="AX3" s="29" t="s">
        <v>52</v>
      </c>
    </row>
    <row r="4" customFormat="false" ht="13.5" hidden="false" customHeight="false" outlineLevel="0" collapsed="false">
      <c r="A4" s="25" t="s">
        <v>13</v>
      </c>
      <c r="B4" s="25" t="s">
        <v>66</v>
      </c>
      <c r="C4" s="25" t="e">
        <f aca="false">IF(#REF!="","",#REF!)</f>
        <v>#REF!</v>
      </c>
      <c r="D4" s="25" t="e">
        <f aca="false">IF(#REF!="","",#REF!)</f>
        <v>#REF!</v>
      </c>
      <c r="E4" s="25" t="e">
        <f aca="false">IF(#REF!="","",IF(OR(#REF!="Team A",#REF!=#REF!),#REF!,IF(OR(#REF!="Team B",#REF!=#REF!),#REF!,#REF!)))</f>
        <v>#REF!</v>
      </c>
      <c r="F4" s="25" t="e">
        <f aca="false">IF(E4="",1,0)</f>
        <v>#REF!</v>
      </c>
      <c r="G4" s="30" t="e">
        <f aca="false">IF(E4="",0,IF(OR(E4="Team A",E4="Team B",E4=C4,E4=D4),0,1))</f>
        <v>#REF!</v>
      </c>
      <c r="H4" s="25" t="s">
        <v>133</v>
      </c>
      <c r="I4" s="25" t="s">
        <v>134</v>
      </c>
      <c r="J4" s="25"/>
      <c r="K4" s="25" t="s">
        <v>135</v>
      </c>
      <c r="L4" s="25" t="e">
        <f aca="false">SUM(R4:R27)</f>
        <v>#REF!</v>
      </c>
      <c r="M4" s="25"/>
      <c r="N4" s="25" t="s">
        <v>13</v>
      </c>
      <c r="O4" s="25" t="s">
        <v>62</v>
      </c>
      <c r="P4" s="25" t="s">
        <v>136</v>
      </c>
      <c r="Q4" s="25" t="e">
        <f aca="false">IF(#REF!="","",#REF!)</f>
        <v>#REF!</v>
      </c>
      <c r="R4" s="25" t="e">
        <f aca="false">IF(OR(Q4="",Q4="Team A",Q4="Team B"),1,0)</f>
        <v>#REF!</v>
      </c>
      <c r="AA4" s="29" t="s">
        <v>68</v>
      </c>
      <c r="AB4" s="29" t="s">
        <v>137</v>
      </c>
      <c r="AC4" s="29" t="s">
        <v>137</v>
      </c>
      <c r="AD4" s="29" t="s">
        <v>138</v>
      </c>
      <c r="AE4" s="29" t="s">
        <v>18</v>
      </c>
      <c r="AF4" s="29" t="s">
        <v>139</v>
      </c>
      <c r="AG4" s="29" t="s">
        <v>138</v>
      </c>
      <c r="AH4" s="29" t="s">
        <v>39</v>
      </c>
      <c r="AI4" s="29" t="s">
        <v>27</v>
      </c>
      <c r="AJ4" s="29" t="s">
        <v>139</v>
      </c>
      <c r="AK4" s="29" t="s">
        <v>55</v>
      </c>
      <c r="AL4" s="29" t="s">
        <v>34</v>
      </c>
      <c r="AM4" s="29" t="s">
        <v>39</v>
      </c>
      <c r="AN4" s="29" t="s">
        <v>26</v>
      </c>
      <c r="AO4" s="29" t="s">
        <v>27</v>
      </c>
      <c r="AP4" s="29" t="s">
        <v>44</v>
      </c>
      <c r="AQ4" s="29" t="s">
        <v>140</v>
      </c>
      <c r="AR4" s="29" t="s">
        <v>139</v>
      </c>
      <c r="AS4" s="29" t="s">
        <v>140</v>
      </c>
      <c r="AT4" s="29" t="s">
        <v>44</v>
      </c>
      <c r="AU4" s="29" t="s">
        <v>26</v>
      </c>
      <c r="AV4" s="29" t="s">
        <v>141</v>
      </c>
      <c r="AW4" s="29" t="s">
        <v>141</v>
      </c>
      <c r="AX4" s="29" t="s">
        <v>34</v>
      </c>
    </row>
    <row r="5" customFormat="false" ht="13.5" hidden="false" customHeight="false" outlineLevel="0" collapsed="false">
      <c r="A5" s="25" t="s">
        <v>17</v>
      </c>
      <c r="B5" s="25" t="s">
        <v>66</v>
      </c>
      <c r="C5" s="25" t="e">
        <f aca="false">IF(#REF!="","",#REF!)</f>
        <v>#REF!</v>
      </c>
      <c r="D5" s="25" t="e">
        <f aca="false">IF(#REF!="","",#REF!)</f>
        <v>#REF!</v>
      </c>
      <c r="E5" s="25" t="e">
        <f aca="false">IF(#REF!="","",IF(OR(#REF!="Team A",#REF!=#REF!),#REF!,IF(OR(#REF!="Team B",#REF!=#REF!),#REF!,#REF!)))</f>
        <v>#REF!</v>
      </c>
      <c r="F5" s="25" t="e">
        <f aca="false">IF(E5="",1,0)</f>
        <v>#REF!</v>
      </c>
      <c r="G5" s="30" t="e">
        <f aca="false">IF(E5="",0,IF(OR(E5="Team A",E5="Team B",E5=C5,E5=D5),0,1))</f>
        <v>#REF!</v>
      </c>
      <c r="H5" s="25" t="s">
        <v>142</v>
      </c>
      <c r="I5" s="25" t="s">
        <v>143</v>
      </c>
      <c r="J5" s="25"/>
      <c r="K5" s="25"/>
      <c r="L5" s="25"/>
      <c r="M5" s="25"/>
      <c r="N5" s="25" t="s">
        <v>23</v>
      </c>
      <c r="O5" s="25" t="s">
        <v>61</v>
      </c>
      <c r="P5" s="25" t="s">
        <v>144</v>
      </c>
      <c r="Q5" s="25" t="e">
        <f aca="false">IF(#REF!="","",#REF!)</f>
        <v>#REF!</v>
      </c>
      <c r="R5" s="25" t="e">
        <f aca="false">IF(OR(Q5="",Q5="Team A",Q5="Team B"),1,0)</f>
        <v>#REF!</v>
      </c>
      <c r="AA5" s="29" t="s">
        <v>119</v>
      </c>
      <c r="AB5" s="29" t="s">
        <v>145</v>
      </c>
      <c r="AC5" s="29" t="s">
        <v>145</v>
      </c>
      <c r="AD5" s="29" t="s">
        <v>56</v>
      </c>
      <c r="AE5" s="29" t="s">
        <v>51</v>
      </c>
      <c r="AG5" s="29" t="s">
        <v>56</v>
      </c>
      <c r="AH5" s="29" t="s">
        <v>55</v>
      </c>
      <c r="AI5" s="29" t="s">
        <v>146</v>
      </c>
      <c r="AJ5" s="29" t="s">
        <v>121</v>
      </c>
      <c r="AK5" s="29" t="s">
        <v>139</v>
      </c>
      <c r="AL5" s="29" t="s">
        <v>147</v>
      </c>
      <c r="AM5" s="29" t="s">
        <v>55</v>
      </c>
      <c r="AN5" s="29" t="s">
        <v>148</v>
      </c>
      <c r="AO5" s="29" t="s">
        <v>146</v>
      </c>
      <c r="AP5" s="29" t="s">
        <v>28</v>
      </c>
      <c r="AQ5" s="29" t="s">
        <v>149</v>
      </c>
      <c r="AR5" s="29" t="s">
        <v>22</v>
      </c>
      <c r="AS5" s="29" t="s">
        <v>149</v>
      </c>
      <c r="AT5" s="29" t="s">
        <v>28</v>
      </c>
      <c r="AU5" s="29" t="s">
        <v>148</v>
      </c>
      <c r="AV5" s="29" t="s">
        <v>39</v>
      </c>
      <c r="AX5" s="29" t="s">
        <v>147</v>
      </c>
    </row>
    <row r="6" customFormat="false" ht="13.5" hidden="false" customHeight="false" outlineLevel="0" collapsed="false">
      <c r="A6" s="25" t="s">
        <v>19</v>
      </c>
      <c r="B6" s="25" t="s">
        <v>66</v>
      </c>
      <c r="C6" s="25" t="e">
        <f aca="false">IF(#REF!="","",#REF!)</f>
        <v>#REF!</v>
      </c>
      <c r="D6" s="25" t="e">
        <f aca="false">IF(#REF!="","",#REF!)</f>
        <v>#REF!</v>
      </c>
      <c r="E6" s="25" t="e">
        <f aca="false">IF(#REF!="","",IF(OR(#REF!="Team A",#REF!=#REF!),#REF!,IF(OR(#REF!="Team B",#REF!=#REF!),#REF!,#REF!)))</f>
        <v>#REF!</v>
      </c>
      <c r="F6" s="25" t="e">
        <f aca="false">IF(E6="",1,0)</f>
        <v>#REF!</v>
      </c>
      <c r="G6" s="30" t="e">
        <f aca="false">IF(E6="",0,IF(OR(E6="Team A",E6="Team B",E6=C6,E6=D6),0,1))</f>
        <v>#REF!</v>
      </c>
      <c r="H6" s="25" t="s">
        <v>150</v>
      </c>
      <c r="I6" s="25" t="s">
        <v>151</v>
      </c>
      <c r="J6" s="25"/>
      <c r="K6" s="25"/>
      <c r="L6" s="25"/>
      <c r="M6" s="25"/>
      <c r="N6" s="25" t="s">
        <v>36</v>
      </c>
      <c r="O6" s="25" t="s">
        <v>62</v>
      </c>
      <c r="P6" s="25" t="s">
        <v>152</v>
      </c>
      <c r="Q6" s="25" t="e">
        <f aca="false">IF(#REF!="","",#REF!)</f>
        <v>#REF!</v>
      </c>
      <c r="R6" s="25" t="e">
        <f aca="false">IF(OR(Q6="",Q6="Team A",Q6="Team B"),1,0)</f>
        <v>#REF!</v>
      </c>
      <c r="AA6" s="29" t="s">
        <v>132</v>
      </c>
      <c r="AE6" s="29" t="s">
        <v>141</v>
      </c>
      <c r="AH6" s="29" t="s">
        <v>139</v>
      </c>
      <c r="AJ6" s="29" t="s">
        <v>49</v>
      </c>
      <c r="AK6" s="29" t="s">
        <v>22</v>
      </c>
      <c r="AM6" s="29" t="s">
        <v>139</v>
      </c>
      <c r="AR6" s="29" t="s">
        <v>15</v>
      </c>
      <c r="AV6" s="29" t="s">
        <v>55</v>
      </c>
    </row>
    <row r="7" customFormat="false" ht="13.5" hidden="false" customHeight="false" outlineLevel="0" collapsed="false">
      <c r="A7" s="25" t="s">
        <v>23</v>
      </c>
      <c r="B7" s="25" t="s">
        <v>66</v>
      </c>
      <c r="C7" s="25" t="e">
        <f aca="false">IF(#REF!="","",#REF!)</f>
        <v>#REF!</v>
      </c>
      <c r="D7" s="25" t="e">
        <f aca="false">IF(#REF!="","",#REF!)</f>
        <v>#REF!</v>
      </c>
      <c r="E7" s="25" t="e">
        <f aca="false">IF(#REF!="","",IF(OR(#REF!="Team A",#REF!=#REF!),#REF!,IF(OR(#REF!="Team B",#REF!=#REF!),#REF!,#REF!)))</f>
        <v>#REF!</v>
      </c>
      <c r="F7" s="25" t="e">
        <f aca="false">IF(E7="",1,0)</f>
        <v>#REF!</v>
      </c>
      <c r="G7" s="30" t="e">
        <f aca="false">IF(E7="",0,IF(OR(E7="Team A",E7="Team B",E7=C7,E7=D7),0,1))</f>
        <v>#REF!</v>
      </c>
      <c r="H7" s="25" t="s">
        <v>153</v>
      </c>
      <c r="I7" s="25" t="s">
        <v>154</v>
      </c>
      <c r="J7" s="25"/>
      <c r="K7" s="25"/>
      <c r="L7" s="25"/>
      <c r="M7" s="25"/>
      <c r="N7" s="25" t="s">
        <v>17</v>
      </c>
      <c r="O7" s="25" t="s">
        <v>61</v>
      </c>
      <c r="P7" s="25" t="s">
        <v>155</v>
      </c>
      <c r="Q7" s="25" t="e">
        <f aca="false">IF(#REF!="","",#REF!)</f>
        <v>#REF!</v>
      </c>
      <c r="R7" s="25" t="e">
        <f aca="false">IF(OR(Q7="",Q7="Team A",Q7="Team B"),1,0)</f>
        <v>#REF!</v>
      </c>
      <c r="AA7" s="29" t="s">
        <v>18</v>
      </c>
      <c r="AE7" s="29" t="s">
        <v>22</v>
      </c>
      <c r="AH7" s="29" t="s">
        <v>22</v>
      </c>
      <c r="AJ7" s="29" t="s">
        <v>44</v>
      </c>
      <c r="AK7" s="29" t="s">
        <v>15</v>
      </c>
      <c r="AM7" s="29" t="s">
        <v>121</v>
      </c>
      <c r="AR7" s="29" t="s">
        <v>137</v>
      </c>
      <c r="AV7" s="29" t="s">
        <v>139</v>
      </c>
    </row>
    <row r="8" customFormat="false" ht="13.5" hidden="false" customHeight="false" outlineLevel="0" collapsed="false">
      <c r="A8" s="25" t="s">
        <v>25</v>
      </c>
      <c r="B8" s="25" t="s">
        <v>66</v>
      </c>
      <c r="C8" s="25" t="e">
        <f aca="false">IF(#REF!="","",#REF!)</f>
        <v>#REF!</v>
      </c>
      <c r="D8" s="25" t="e">
        <f aca="false">IF(#REF!="","",#REF!)</f>
        <v>#REF!</v>
      </c>
      <c r="E8" s="25" t="e">
        <f aca="false">IF(#REF!="","",IF(OR(#REF!="Team A",#REF!=#REF!),#REF!,IF(OR(#REF!="Team B",#REF!=#REF!),#REF!,#REF!)))</f>
        <v>#REF!</v>
      </c>
      <c r="F8" s="25" t="e">
        <f aca="false">IF(E8="",1,0)</f>
        <v>#REF!</v>
      </c>
      <c r="G8" s="30" t="e">
        <f aca="false">IF(E8="",0,IF(OR(E8="Team A",E8="Team B",E8=C8,E8=D8),0,1))</f>
        <v>#REF!</v>
      </c>
      <c r="H8" s="25" t="s">
        <v>156</v>
      </c>
      <c r="I8" s="25" t="s">
        <v>157</v>
      </c>
      <c r="J8" s="25"/>
      <c r="K8" s="25"/>
      <c r="L8" s="25"/>
      <c r="M8" s="25"/>
      <c r="N8" s="25" t="s">
        <v>17</v>
      </c>
      <c r="O8" s="25" t="s">
        <v>62</v>
      </c>
      <c r="P8" s="25" t="s">
        <v>158</v>
      </c>
      <c r="Q8" s="25" t="e">
        <f aca="false">IF(#REF!="","",#REF!)</f>
        <v>#REF!</v>
      </c>
      <c r="R8" s="25" t="e">
        <f aca="false">IF(OR(Q8="",Q8="Team A",Q8="Team B"),1,0)</f>
        <v>#REF!</v>
      </c>
      <c r="AA8" s="29" t="s">
        <v>51</v>
      </c>
      <c r="AE8" s="29" t="s">
        <v>15</v>
      </c>
      <c r="AH8" s="29" t="s">
        <v>15</v>
      </c>
      <c r="AJ8" s="29" t="s">
        <v>28</v>
      </c>
      <c r="AK8" s="29" t="s">
        <v>137</v>
      </c>
      <c r="AM8" s="29" t="s">
        <v>49</v>
      </c>
      <c r="AR8" s="29" t="s">
        <v>145</v>
      </c>
      <c r="AV8" s="29" t="s">
        <v>16</v>
      </c>
    </row>
    <row r="9" customFormat="false" ht="13.5" hidden="false" customHeight="false" outlineLevel="0" collapsed="false">
      <c r="A9" s="25" t="s">
        <v>29</v>
      </c>
      <c r="B9" s="25" t="s">
        <v>66</v>
      </c>
      <c r="C9" s="25" t="e">
        <f aca="false">IF(#REF!="","",#REF!)</f>
        <v>#REF!</v>
      </c>
      <c r="D9" s="25" t="e">
        <f aca="false">IF(#REF!="","",#REF!)</f>
        <v>#REF!</v>
      </c>
      <c r="E9" s="25" t="e">
        <f aca="false">IF(#REF!="","",IF(OR(#REF!="Team A",#REF!=#REF!),#REF!,IF(OR(#REF!="Team B",#REF!=#REF!),#REF!,#REF!)))</f>
        <v>#REF!</v>
      </c>
      <c r="F9" s="25" t="e">
        <f aca="false">IF(E9="",1,0)</f>
        <v>#REF!</v>
      </c>
      <c r="G9" s="30" t="e">
        <f aca="false">IF(E9="",0,IF(OR(E9="Team A",E9="Team B",E9=C9,E9=D9),0,1))</f>
        <v>#REF!</v>
      </c>
      <c r="H9" s="25" t="s">
        <v>159</v>
      </c>
      <c r="I9" s="25" t="s">
        <v>160</v>
      </c>
      <c r="J9" s="25"/>
      <c r="K9" s="25"/>
      <c r="L9" s="25"/>
      <c r="M9" s="25"/>
      <c r="N9" s="25" t="s">
        <v>38</v>
      </c>
      <c r="O9" s="25" t="s">
        <v>61</v>
      </c>
      <c r="P9" s="25" t="s">
        <v>161</v>
      </c>
      <c r="Q9" s="25" t="e">
        <f aca="false">IF(#REF!="","",#REF!)</f>
        <v>#REF!</v>
      </c>
      <c r="R9" s="25" t="e">
        <f aca="false">IF(OR(Q9="",Q9="Team A",Q9="Team B"),1,0)</f>
        <v>#REF!</v>
      </c>
      <c r="AA9" s="29" t="s">
        <v>141</v>
      </c>
      <c r="AE9" s="29" t="s">
        <v>137</v>
      </c>
      <c r="AH9" s="29" t="s">
        <v>137</v>
      </c>
      <c r="AJ9" s="29" t="s">
        <v>16</v>
      </c>
      <c r="AK9" s="29" t="s">
        <v>145</v>
      </c>
      <c r="AM9" s="29" t="s">
        <v>44</v>
      </c>
      <c r="AR9" s="29" t="s">
        <v>120</v>
      </c>
      <c r="AV9" s="29" t="s">
        <v>40</v>
      </c>
    </row>
    <row r="10" customFormat="false" ht="13.5" hidden="false" customHeight="false" outlineLevel="0" collapsed="false">
      <c r="A10" s="25" t="s">
        <v>32</v>
      </c>
      <c r="B10" s="25" t="s">
        <v>66</v>
      </c>
      <c r="C10" s="25" t="e">
        <f aca="false">IF(#REF!="","",#REF!)</f>
        <v>#REF!</v>
      </c>
      <c r="D10" s="25" t="e">
        <f aca="false">IF(#REF!="","",#REF!)</f>
        <v>#REF!</v>
      </c>
      <c r="E10" s="25" t="e">
        <f aca="false">IF(#REF!="","",IF(OR(#REF!="Team A",#REF!=#REF!),#REF!,IF(OR(#REF!="Team B",#REF!=#REF!),#REF!,#REF!)))</f>
        <v>#REF!</v>
      </c>
      <c r="F10" s="25" t="e">
        <f aca="false">IF(E10="",1,0)</f>
        <v>#REF!</v>
      </c>
      <c r="G10" s="30" t="e">
        <f aca="false">IF(E10="",0,IF(OR(E10="Team A",E10="Team B",E10=C10,E10=D10),0,1))</f>
        <v>#REF!</v>
      </c>
      <c r="H10" s="25" t="s">
        <v>162</v>
      </c>
      <c r="I10" s="25" t="s">
        <v>163</v>
      </c>
      <c r="J10" s="25"/>
      <c r="K10" s="25"/>
      <c r="L10" s="25"/>
      <c r="M10" s="25"/>
      <c r="N10" s="25" t="s">
        <v>38</v>
      </c>
      <c r="O10" s="25" t="s">
        <v>62</v>
      </c>
      <c r="P10" s="25" t="s">
        <v>164</v>
      </c>
      <c r="Q10" s="25" t="e">
        <f aca="false">IF(#REF!="","",#REF!)</f>
        <v>#REF!</v>
      </c>
      <c r="R10" s="25" t="e">
        <f aca="false">IF(OR(Q10="",Q10="Team A",Q10="Team B"),1,0)</f>
        <v>#REF!</v>
      </c>
      <c r="AA10" s="29" t="s">
        <v>22</v>
      </c>
      <c r="AE10" s="29" t="s">
        <v>145</v>
      </c>
      <c r="AH10" s="29" t="s">
        <v>145</v>
      </c>
      <c r="AJ10" s="29" t="s">
        <v>40</v>
      </c>
      <c r="AK10" s="29" t="s">
        <v>16</v>
      </c>
      <c r="AM10" s="29" t="s">
        <v>28</v>
      </c>
      <c r="AR10" s="29" t="s">
        <v>52</v>
      </c>
      <c r="AV10" s="29" t="s">
        <v>138</v>
      </c>
    </row>
    <row r="11" customFormat="false" ht="13.5" hidden="false" customHeight="false" outlineLevel="0" collapsed="false">
      <c r="A11" s="25" t="s">
        <v>33</v>
      </c>
      <c r="B11" s="25" t="s">
        <v>66</v>
      </c>
      <c r="C11" s="25" t="e">
        <f aca="false">IF(#REF!="","",#REF!)</f>
        <v>#REF!</v>
      </c>
      <c r="D11" s="25" t="e">
        <f aca="false">IF(#REF!="","",#REF!)</f>
        <v>#REF!</v>
      </c>
      <c r="E11" s="25" t="e">
        <f aca="false">IF(#REF!="","",IF(OR(#REF!="Team A",#REF!=#REF!),#REF!,IF(OR(#REF!="Team B",#REF!=#REF!),#REF!,#REF!)))</f>
        <v>#REF!</v>
      </c>
      <c r="F11" s="25" t="e">
        <f aca="false">IF(E11="",1,0)</f>
        <v>#REF!</v>
      </c>
      <c r="G11" s="30" t="e">
        <f aca="false">IF(E11="",0,IF(OR(E11="Team A",E11="Team B",E11=C11,E11=D11),0,1))</f>
        <v>#REF!</v>
      </c>
      <c r="H11" s="25" t="s">
        <v>165</v>
      </c>
      <c r="I11" s="25" t="s">
        <v>166</v>
      </c>
      <c r="J11" s="25"/>
      <c r="K11" s="25"/>
      <c r="L11" s="25"/>
      <c r="M11" s="25"/>
      <c r="N11" s="25" t="s">
        <v>42</v>
      </c>
      <c r="O11" s="25" t="s">
        <v>62</v>
      </c>
      <c r="P11" s="25" t="s">
        <v>167</v>
      </c>
      <c r="Q11" s="25" t="e">
        <f aca="false">IF(#REF!="","",#REF!)</f>
        <v>#REF!</v>
      </c>
      <c r="R11" s="25" t="e">
        <f aca="false">IF(OR(Q11="",Q11="Team A",Q11="Team B"),1,0)</f>
        <v>#REF!</v>
      </c>
      <c r="AA11" s="29" t="s">
        <v>15</v>
      </c>
      <c r="AE11" s="29" t="s">
        <v>120</v>
      </c>
      <c r="AH11" s="29" t="s">
        <v>121</v>
      </c>
      <c r="AJ11" s="29" t="s">
        <v>138</v>
      </c>
      <c r="AK11" s="29" t="s">
        <v>40</v>
      </c>
      <c r="AM11" s="29" t="s">
        <v>16</v>
      </c>
      <c r="AR11" s="29" t="s">
        <v>34</v>
      </c>
      <c r="AV11" s="29" t="s">
        <v>56</v>
      </c>
    </row>
    <row r="12" customFormat="false" ht="13.5" hidden="false" customHeight="false" outlineLevel="0" collapsed="false">
      <c r="A12" s="25" t="s">
        <v>36</v>
      </c>
      <c r="B12" s="25" t="s">
        <v>66</v>
      </c>
      <c r="C12" s="25" t="e">
        <f aca="false">IF(#REF!="","",#REF!)</f>
        <v>#REF!</v>
      </c>
      <c r="D12" s="25" t="e">
        <f aca="false">IF(#REF!="","",#REF!)</f>
        <v>#REF!</v>
      </c>
      <c r="E12" s="25" t="e">
        <f aca="false">IF(#REF!="","",IF(OR(#REF!="Team A",#REF!=#REF!),#REF!,IF(OR(#REF!="Team B",#REF!=#REF!),#REF!,#REF!)))</f>
        <v>#REF!</v>
      </c>
      <c r="F12" s="25" t="e">
        <f aca="false">IF(E12="",1,0)</f>
        <v>#REF!</v>
      </c>
      <c r="G12" s="30" t="e">
        <f aca="false">IF(E12="",0,IF(OR(E12="Team A",E12="Team B",E12=C12,E12=D12),0,1))</f>
        <v>#REF!</v>
      </c>
      <c r="H12" s="25" t="s">
        <v>168</v>
      </c>
      <c r="I12" s="25" t="s">
        <v>169</v>
      </c>
      <c r="J12" s="25"/>
      <c r="K12" s="25"/>
      <c r="L12" s="25"/>
      <c r="M12" s="25"/>
      <c r="N12" s="25" t="s">
        <v>46</v>
      </c>
      <c r="O12" s="25" t="s">
        <v>61</v>
      </c>
      <c r="P12" s="25" t="s">
        <v>170</v>
      </c>
      <c r="Q12" s="25" t="e">
        <f aca="false">IF(#REF!="","",#REF!)</f>
        <v>#REF!</v>
      </c>
      <c r="R12" s="25" t="e">
        <f aca="false">IF(OR(Q12="",Q12="Team A",Q12="Team B"),1,0)</f>
        <v>#REF!</v>
      </c>
      <c r="AA12" s="29" t="s">
        <v>137</v>
      </c>
      <c r="AE12" s="29" t="s">
        <v>52</v>
      </c>
      <c r="AH12" s="29" t="s">
        <v>49</v>
      </c>
      <c r="AJ12" s="29" t="s">
        <v>56</v>
      </c>
      <c r="AK12" s="29" t="s">
        <v>138</v>
      </c>
      <c r="AM12" s="29" t="s">
        <v>40</v>
      </c>
      <c r="AR12" s="29" t="s">
        <v>147</v>
      </c>
      <c r="AV12" s="29" t="s">
        <v>45</v>
      </c>
    </row>
    <row r="13" customFormat="false" ht="13.5" hidden="false" customHeight="false" outlineLevel="0" collapsed="false">
      <c r="A13" s="25" t="s">
        <v>38</v>
      </c>
      <c r="B13" s="25" t="s">
        <v>66</v>
      </c>
      <c r="C13" s="25" t="e">
        <f aca="false">IF(#REF!="","",#REF!)</f>
        <v>#REF!</v>
      </c>
      <c r="D13" s="25" t="e">
        <f aca="false">IF(#REF!="","",#REF!)</f>
        <v>#REF!</v>
      </c>
      <c r="E13" s="25" t="e">
        <f aca="false">IF(#REF!="","",IF(OR(#REF!="Team A",#REF!=#REF!),#REF!,IF(OR(#REF!="Team B",#REF!=#REF!),#REF!,#REF!)))</f>
        <v>#REF!</v>
      </c>
      <c r="F13" s="25" t="e">
        <f aca="false">IF(E13="",1,0)</f>
        <v>#REF!</v>
      </c>
      <c r="G13" s="30" t="e">
        <f aca="false">IF(E13="",0,IF(OR(E13="Team A",E13="Team B",E13=C13,E13=D13),0,1))</f>
        <v>#REF!</v>
      </c>
      <c r="H13" s="25" t="s">
        <v>171</v>
      </c>
      <c r="I13" s="25" t="s">
        <v>172</v>
      </c>
      <c r="J13" s="25"/>
      <c r="K13" s="25"/>
      <c r="L13" s="25"/>
      <c r="M13" s="25"/>
      <c r="N13" s="25" t="s">
        <v>46</v>
      </c>
      <c r="O13" s="25" t="s">
        <v>62</v>
      </c>
      <c r="P13" s="25" t="s">
        <v>173</v>
      </c>
      <c r="Q13" s="25" t="e">
        <f aca="false">IF(#REF!="","",#REF!)</f>
        <v>#REF!</v>
      </c>
      <c r="R13" s="25" t="e">
        <f aca="false">IF(OR(Q13="",Q13="Team A",Q13="Team B"),1,0)</f>
        <v>#REF!</v>
      </c>
      <c r="AA13" s="29" t="s">
        <v>145</v>
      </c>
      <c r="AE13" s="29" t="s">
        <v>34</v>
      </c>
      <c r="AH13" s="29" t="s">
        <v>44</v>
      </c>
      <c r="AJ13" s="29" t="s">
        <v>45</v>
      </c>
      <c r="AK13" s="29" t="s">
        <v>56</v>
      </c>
      <c r="AM13" s="29" t="s">
        <v>138</v>
      </c>
      <c r="AR13" s="29" t="s">
        <v>16</v>
      </c>
      <c r="AV13" s="29" t="s">
        <v>31</v>
      </c>
    </row>
    <row r="14" customFormat="false" ht="13.5" hidden="false" customHeight="false" outlineLevel="0" collapsed="false">
      <c r="A14" s="25" t="s">
        <v>42</v>
      </c>
      <c r="B14" s="25" t="s">
        <v>66</v>
      </c>
      <c r="C14" s="25" t="e">
        <f aca="false">IF(#REF!="","",#REF!)</f>
        <v>#REF!</v>
      </c>
      <c r="D14" s="25" t="e">
        <f aca="false">IF(#REF!="","",#REF!)</f>
        <v>#REF!</v>
      </c>
      <c r="E14" s="25" t="e">
        <f aca="false">IF(#REF!="","",IF(OR(#REF!="Team A",#REF!=#REF!),#REF!,IF(OR(#REF!="Team B",#REF!=#REF!),#REF!,#REF!)))</f>
        <v>#REF!</v>
      </c>
      <c r="F14" s="25" t="e">
        <f aca="false">IF(E14="",1,0)</f>
        <v>#REF!</v>
      </c>
      <c r="G14" s="30" t="e">
        <f aca="false">IF(E14="",0,IF(OR(E14="Team A",E14="Team B",E14=C14,E14=D14),0,1))</f>
        <v>#REF!</v>
      </c>
      <c r="H14" s="25" t="s">
        <v>174</v>
      </c>
      <c r="I14" s="25" t="s">
        <v>175</v>
      </c>
      <c r="J14" s="25"/>
      <c r="K14" s="25"/>
      <c r="L14" s="25"/>
      <c r="M14" s="25"/>
      <c r="N14" s="25" t="s">
        <v>32</v>
      </c>
      <c r="O14" s="25" t="s">
        <v>62</v>
      </c>
      <c r="P14" s="25" t="s">
        <v>176</v>
      </c>
      <c r="Q14" s="25" t="e">
        <f aca="false">IF(#REF!="","",#REF!)</f>
        <v>#REF!</v>
      </c>
      <c r="R14" s="25" t="e">
        <f aca="false">IF(OR(Q14="",Q14="Team A",Q14="Team B"),1,0)</f>
        <v>#REF!</v>
      </c>
      <c r="AE14" s="29" t="s">
        <v>147</v>
      </c>
      <c r="AH14" s="29" t="s">
        <v>28</v>
      </c>
      <c r="AJ14" s="29" t="s">
        <v>31</v>
      </c>
      <c r="AK14" s="29" t="s">
        <v>45</v>
      </c>
      <c r="AM14" s="29" t="s">
        <v>56</v>
      </c>
      <c r="AR14" s="29" t="s">
        <v>40</v>
      </c>
      <c r="AV14" s="29" t="s">
        <v>140</v>
      </c>
    </row>
    <row r="15" customFormat="false" ht="13.5" hidden="false" customHeight="false" outlineLevel="0" collapsed="false">
      <c r="A15" s="25" t="s">
        <v>46</v>
      </c>
      <c r="B15" s="25" t="s">
        <v>66</v>
      </c>
      <c r="C15" s="25" t="e">
        <f aca="false">IF(#REF!="","",#REF!)</f>
        <v>#REF!</v>
      </c>
      <c r="D15" s="25" t="e">
        <f aca="false">IF(#REF!="","",#REF!)</f>
        <v>#REF!</v>
      </c>
      <c r="E15" s="25" t="e">
        <f aca="false">IF(#REF!="","",IF(OR(#REF!="Team A",#REF!=#REF!),#REF!,IF(OR(#REF!="Team B",#REF!=#REF!),#REF!,#REF!)))</f>
        <v>#REF!</v>
      </c>
      <c r="F15" s="25" t="e">
        <f aca="false">IF(E15="",1,0)</f>
        <v>#REF!</v>
      </c>
      <c r="G15" s="30" t="e">
        <f aca="false">IF(E15="",0,IF(OR(E15="Team A",E15="Team B",E15=C15,E15=D15),0,1))</f>
        <v>#REF!</v>
      </c>
      <c r="H15" s="25" t="s">
        <v>177</v>
      </c>
      <c r="I15" s="25" t="s">
        <v>178</v>
      </c>
      <c r="J15" s="25"/>
      <c r="K15" s="25"/>
      <c r="L15" s="25"/>
      <c r="M15" s="25"/>
      <c r="N15" s="25" t="s">
        <v>33</v>
      </c>
      <c r="O15" s="25" t="s">
        <v>61</v>
      </c>
      <c r="P15" s="25" t="s">
        <v>179</v>
      </c>
      <c r="Q15" s="25" t="e">
        <f aca="false">IF(#REF!="","",#REF!)</f>
        <v>#REF!</v>
      </c>
      <c r="R15" s="25" t="e">
        <f aca="false">IF(OR(Q15="",Q15="Team A",Q15="Team B"),1,0)</f>
        <v>#REF!</v>
      </c>
      <c r="AE15" s="29" t="s">
        <v>121</v>
      </c>
      <c r="AH15" s="29" t="s">
        <v>16</v>
      </c>
      <c r="AJ15" s="29" t="s">
        <v>140</v>
      </c>
      <c r="AK15" s="29" t="s">
        <v>31</v>
      </c>
      <c r="AM15" s="29" t="s">
        <v>45</v>
      </c>
      <c r="AR15" s="29" t="s">
        <v>138</v>
      </c>
      <c r="AV15" s="29" t="s">
        <v>149</v>
      </c>
    </row>
    <row r="16" customFormat="false" ht="13.5" hidden="false" customHeight="false" outlineLevel="0" collapsed="false">
      <c r="A16" s="25" t="s">
        <v>48</v>
      </c>
      <c r="B16" s="25" t="s">
        <v>66</v>
      </c>
      <c r="C16" s="25" t="e">
        <f aca="false">IF(#REF!="","",#REF!)</f>
        <v>#REF!</v>
      </c>
      <c r="D16" s="25" t="e">
        <f aca="false">IF(#REF!="","",#REF!)</f>
        <v>#REF!</v>
      </c>
      <c r="E16" s="25" t="e">
        <f aca="false">IF(#REF!="","",IF(OR(#REF!="Team A",#REF!=#REF!),#REF!,IF(OR(#REF!="Team B",#REF!=#REF!),#REF!,#REF!)))</f>
        <v>#REF!</v>
      </c>
      <c r="F16" s="25" t="e">
        <f aca="false">IF(E16="",1,0)</f>
        <v>#REF!</v>
      </c>
      <c r="G16" s="30" t="e">
        <f aca="false">IF(E16="",0,IF(OR(E16="Team A",E16="Team B",E16=C16,E16=D16),0,1))</f>
        <v>#REF!</v>
      </c>
      <c r="H16" s="25" t="s">
        <v>180</v>
      </c>
      <c r="I16" s="25" t="s">
        <v>181</v>
      </c>
      <c r="J16" s="25"/>
      <c r="K16" s="25"/>
      <c r="L16" s="25"/>
      <c r="M16" s="25"/>
      <c r="N16" s="25" t="s">
        <v>33</v>
      </c>
      <c r="O16" s="25" t="s">
        <v>62</v>
      </c>
      <c r="P16" s="25" t="s">
        <v>182</v>
      </c>
      <c r="Q16" s="25" t="e">
        <f aca="false">IF(#REF!="","",#REF!)</f>
        <v>#REF!</v>
      </c>
      <c r="R16" s="25" t="e">
        <f aca="false">IF(OR(Q16="",Q16="Team A",Q16="Team B"),1,0)</f>
        <v>#REF!</v>
      </c>
      <c r="AE16" s="29" t="s">
        <v>49</v>
      </c>
      <c r="AH16" s="29" t="s">
        <v>40</v>
      </c>
      <c r="AJ16" s="29" t="s">
        <v>149</v>
      </c>
      <c r="AK16" s="29" t="s">
        <v>140</v>
      </c>
      <c r="AM16" s="29" t="s">
        <v>31</v>
      </c>
      <c r="AR16" s="29" t="s">
        <v>56</v>
      </c>
      <c r="AV16" s="29" t="s">
        <v>41</v>
      </c>
    </row>
    <row r="17" customFormat="false" ht="13.5" hidden="false" customHeight="false" outlineLevel="0" collapsed="false">
      <c r="A17" s="25" t="s">
        <v>50</v>
      </c>
      <c r="B17" s="25" t="s">
        <v>66</v>
      </c>
      <c r="C17" s="25" t="e">
        <f aca="false">IF(#REF!="","",#REF!)</f>
        <v>#REF!</v>
      </c>
      <c r="D17" s="25" t="e">
        <f aca="false">IF(#REF!="","",#REF!)</f>
        <v>#REF!</v>
      </c>
      <c r="E17" s="25" t="e">
        <f aca="false">IF(#REF!="","",IF(OR(#REF!="Team A",#REF!=#REF!),#REF!,IF(OR(#REF!="Team B",#REF!=#REF!),#REF!,#REF!)))</f>
        <v>#REF!</v>
      </c>
      <c r="F17" s="25" t="e">
        <f aca="false">IF(E17="",1,0)</f>
        <v>#REF!</v>
      </c>
      <c r="G17" s="30" t="e">
        <f aca="false">IF(E17="",0,IF(OR(E17="Team A",E17="Team B",E17=C17,E17=D17),0,1))</f>
        <v>#REF!</v>
      </c>
      <c r="H17" s="25" t="s">
        <v>183</v>
      </c>
      <c r="I17" s="25" t="s">
        <v>184</v>
      </c>
      <c r="J17" s="25"/>
      <c r="K17" s="25"/>
      <c r="L17" s="25"/>
      <c r="M17" s="25"/>
      <c r="N17" s="25" t="s">
        <v>25</v>
      </c>
      <c r="O17" s="25" t="s">
        <v>61</v>
      </c>
      <c r="P17" s="25" t="s">
        <v>185</v>
      </c>
      <c r="Q17" s="25" t="e">
        <f aca="false">IF(#REF!="","",#REF!)</f>
        <v>#REF!</v>
      </c>
      <c r="R17" s="25" t="e">
        <f aca="false">IF(OR(Q17="",Q17="Team A",Q17="Team B"),1,0)</f>
        <v>#REF!</v>
      </c>
      <c r="AE17" s="29" t="s">
        <v>44</v>
      </c>
      <c r="AH17" s="29" t="s">
        <v>138</v>
      </c>
      <c r="AJ17" s="29" t="s">
        <v>47</v>
      </c>
      <c r="AK17" s="29" t="s">
        <v>149</v>
      </c>
      <c r="AM17" s="29" t="s">
        <v>140</v>
      </c>
      <c r="AR17" s="29" t="s">
        <v>45</v>
      </c>
      <c r="AV17" s="29" t="s">
        <v>69</v>
      </c>
    </row>
    <row r="18" customFormat="false" ht="13.5" hidden="false" customHeight="false" outlineLevel="0" collapsed="false">
      <c r="A18" s="25" t="s">
        <v>53</v>
      </c>
      <c r="B18" s="25" t="s">
        <v>66</v>
      </c>
      <c r="C18" s="25" t="e">
        <f aca="false">IF(#REF!="","",#REF!)</f>
        <v>#REF!</v>
      </c>
      <c r="D18" s="25" t="e">
        <f aca="false">IF(#REF!="","",#REF!)</f>
        <v>#REF!</v>
      </c>
      <c r="E18" s="25" t="e">
        <f aca="false">IF(#REF!="","",IF(OR(#REF!="Team A",#REF!=#REF!),#REF!,IF(OR(#REF!="Team B",#REF!=#REF!),#REF!,#REF!)))</f>
        <v>#REF!</v>
      </c>
      <c r="F18" s="25" t="e">
        <f aca="false">IF(E18="",1,0)</f>
        <v>#REF!</v>
      </c>
      <c r="G18" s="30" t="e">
        <f aca="false">IF(E18="",0,IF(OR(E18="Team A",E18="Team B",E18=C18,E18=D18),0,1))</f>
        <v>#REF!</v>
      </c>
      <c r="H18" s="25" t="s">
        <v>186</v>
      </c>
      <c r="I18" s="25" t="s">
        <v>187</v>
      </c>
      <c r="J18" s="25"/>
      <c r="K18" s="25"/>
      <c r="L18" s="25"/>
      <c r="M18" s="25"/>
      <c r="N18" s="25" t="s">
        <v>25</v>
      </c>
      <c r="O18" s="25" t="s">
        <v>62</v>
      </c>
      <c r="P18" s="25" t="s">
        <v>188</v>
      </c>
      <c r="Q18" s="25" t="e">
        <f aca="false">IF(#REF!="","",#REF!)</f>
        <v>#REF!</v>
      </c>
      <c r="R18" s="25" t="e">
        <f aca="false">IF(OR(Q18="",Q18="Team A",Q18="Team B"),1,0)</f>
        <v>#REF!</v>
      </c>
      <c r="AE18" s="29" t="s">
        <v>28</v>
      </c>
      <c r="AH18" s="29" t="s">
        <v>56</v>
      </c>
      <c r="AJ18" s="29" t="s">
        <v>58</v>
      </c>
      <c r="AM18" s="29" t="s">
        <v>149</v>
      </c>
      <c r="AR18" s="29" t="s">
        <v>31</v>
      </c>
      <c r="AV18" s="29" t="s">
        <v>27</v>
      </c>
    </row>
    <row r="19" customFormat="false" ht="13.5" hidden="false" customHeight="false" outlineLevel="0" collapsed="false">
      <c r="A19" s="25" t="s">
        <v>57</v>
      </c>
      <c r="B19" s="25" t="s">
        <v>66</v>
      </c>
      <c r="C19" s="25" t="e">
        <f aca="false">IF(#REF!="","",#REF!)</f>
        <v>#REF!</v>
      </c>
      <c r="D19" s="25" t="e">
        <f aca="false">IF(#REF!="","",#REF!)</f>
        <v>#REF!</v>
      </c>
      <c r="E19" s="25" t="e">
        <f aca="false">IF(#REF!="","",IF(OR(#REF!="Team A",#REF!=#REF!),#REF!,IF(OR(#REF!="Team B",#REF!=#REF!),#REF!,#REF!)))</f>
        <v>#REF!</v>
      </c>
      <c r="F19" s="25" t="e">
        <f aca="false">IF(E19="",1,0)</f>
        <v>#REF!</v>
      </c>
      <c r="G19" s="30" t="e">
        <f aca="false">IF(E19="",0,IF(OR(E19="Team A",E19="Team B",E19=C19,E19=D19),0,1))</f>
        <v>#REF!</v>
      </c>
      <c r="H19" s="25" t="s">
        <v>189</v>
      </c>
      <c r="I19" s="25" t="s">
        <v>190</v>
      </c>
      <c r="J19" s="25"/>
      <c r="K19" s="25"/>
      <c r="L19" s="25"/>
      <c r="M19" s="25"/>
      <c r="N19" s="25" t="s">
        <v>29</v>
      </c>
      <c r="O19" s="25" t="s">
        <v>61</v>
      </c>
      <c r="P19" s="25" t="s">
        <v>191</v>
      </c>
      <c r="Q19" s="25" t="e">
        <f aca="false">IF(#REF!="","",#REF!)</f>
        <v>#REF!</v>
      </c>
      <c r="R19" s="25" t="e">
        <f aca="false">IF(OR(Q19="",Q19="Team A",Q19="Team B"),1,0)</f>
        <v>#REF!</v>
      </c>
      <c r="AJ19" s="29" t="s">
        <v>26</v>
      </c>
      <c r="AR19" s="29" t="s">
        <v>140</v>
      </c>
      <c r="AV19" s="29" t="s">
        <v>146</v>
      </c>
    </row>
    <row r="20" customFormat="false" ht="13.5" hidden="false" customHeight="false" outlineLevel="0" collapsed="false">
      <c r="A20" s="25" t="s">
        <v>72</v>
      </c>
      <c r="B20" s="25" t="s">
        <v>73</v>
      </c>
      <c r="C20" s="25" t="e">
        <f aca="false">IF(#REF!="","",#REF!)</f>
        <v>#REF!</v>
      </c>
      <c r="D20" s="25" t="e">
        <f aca="false">IF(#REF!="","",#REF!)</f>
        <v>#REF!</v>
      </c>
      <c r="E20" s="25" t="e">
        <f aca="false">IF(#REF!="","",IF(OR(#REF!="Team A",#REF!=#REF!),#REF!,IF(OR(#REF!="Team B",#REF!=#REF!),#REF!,#REF!)))</f>
        <v>#REF!</v>
      </c>
      <c r="F20" s="25" t="e">
        <f aca="false">IF(E20="",1,0)</f>
        <v>#REF!</v>
      </c>
      <c r="G20" s="30" t="e">
        <f aca="false">IF(E20="",0,IF(OR(E20="Team A",E20="Team B",E20=C20,E20=D20),0,1))</f>
        <v>#REF!</v>
      </c>
      <c r="H20" s="25" t="s">
        <v>192</v>
      </c>
      <c r="I20" s="25" t="s">
        <v>193</v>
      </c>
      <c r="J20" s="25"/>
      <c r="K20" s="25"/>
      <c r="L20" s="25"/>
      <c r="M20" s="25"/>
      <c r="N20" s="25" t="s">
        <v>29</v>
      </c>
      <c r="O20" s="25" t="s">
        <v>62</v>
      </c>
      <c r="P20" s="25" t="s">
        <v>194</v>
      </c>
      <c r="Q20" s="25" t="e">
        <f aca="false">IF(#REF!="","",#REF!)</f>
        <v>#REF!</v>
      </c>
      <c r="R20" s="25" t="e">
        <f aca="false">IF(OR(Q20="",Q20="Team A",Q20="Team B"),1,0)</f>
        <v>#REF!</v>
      </c>
      <c r="AJ20" s="29" t="s">
        <v>148</v>
      </c>
      <c r="AR20" s="29" t="s">
        <v>149</v>
      </c>
    </row>
    <row r="21" customFormat="false" ht="13.5" hidden="false" customHeight="false" outlineLevel="0" collapsed="false">
      <c r="A21" s="25" t="s">
        <v>74</v>
      </c>
      <c r="B21" s="25" t="s">
        <v>73</v>
      </c>
      <c r="C21" s="25" t="e">
        <f aca="false">IF(#REF!="","",#REF!)</f>
        <v>#REF!</v>
      </c>
      <c r="D21" s="25" t="e">
        <f aca="false">IF(#REF!="","",#REF!)</f>
        <v>#REF!</v>
      </c>
      <c r="E21" s="25" t="e">
        <f aca="false">IF(#REF!="","",IF(OR(#REF!="Team A",#REF!=#REF!),#REF!,IF(OR(#REF!="Team B",#REF!=#REF!),#REF!,#REF!)))</f>
        <v>#REF!</v>
      </c>
      <c r="F21" s="25" t="e">
        <f aca="false">IF(E21="",1,0)</f>
        <v>#REF!</v>
      </c>
      <c r="G21" s="30" t="e">
        <f aca="false">IF(E21="",0,IF(OR(E21="Team A",E21="Team B",E21=C21,E21=D21),0,1))</f>
        <v>#REF!</v>
      </c>
      <c r="H21" s="25" t="s">
        <v>195</v>
      </c>
      <c r="I21" s="25" t="s">
        <v>196</v>
      </c>
      <c r="J21" s="25"/>
      <c r="K21" s="25"/>
      <c r="L21" s="25"/>
      <c r="M21" s="25"/>
      <c r="N21" s="25" t="s">
        <v>53</v>
      </c>
      <c r="O21" s="25" t="s">
        <v>62</v>
      </c>
      <c r="P21" s="25" t="s">
        <v>197</v>
      </c>
      <c r="Q21" s="25" t="e">
        <f aca="false">IF(#REF!="","",#REF!)</f>
        <v>#REF!</v>
      </c>
      <c r="R21" s="25" t="e">
        <f aca="false">IF(OR(Q21="",Q21="Team A",Q21="Team B"),1,0)</f>
        <v>#REF!</v>
      </c>
    </row>
    <row r="22" customFormat="false" ht="13.5" hidden="false" customHeight="false" outlineLevel="0" collapsed="false">
      <c r="A22" s="25" t="s">
        <v>75</v>
      </c>
      <c r="B22" s="25" t="s">
        <v>73</v>
      </c>
      <c r="C22" s="25" t="e">
        <f aca="false">IF(#REF!="","",#REF!)</f>
        <v>#REF!</v>
      </c>
      <c r="D22" s="25" t="e">
        <f aca="false">IF(#REF!="","",#REF!)</f>
        <v>#REF!</v>
      </c>
      <c r="E22" s="25" t="e">
        <f aca="false">IF(#REF!="","",IF(OR(#REF!="Team A",#REF!=#REF!),#REF!,IF(OR(#REF!="Team B",#REF!=#REF!),#REF!,#REF!)))</f>
        <v>#REF!</v>
      </c>
      <c r="F22" s="25" t="e">
        <f aca="false">IF(E22="",1,0)</f>
        <v>#REF!</v>
      </c>
      <c r="G22" s="30" t="e">
        <f aca="false">IF(E22="",0,IF(OR(E22="Team A",E22="Team B",E22=C22,E22=D22),0,1))</f>
        <v>#REF!</v>
      </c>
      <c r="H22" s="25" t="s">
        <v>198</v>
      </c>
      <c r="I22" s="25" t="s">
        <v>199</v>
      </c>
      <c r="J22" s="25"/>
      <c r="K22" s="25"/>
      <c r="L22" s="25"/>
      <c r="M22" s="25"/>
      <c r="N22" s="25" t="s">
        <v>48</v>
      </c>
      <c r="O22" s="25" t="s">
        <v>61</v>
      </c>
      <c r="P22" s="25" t="s">
        <v>200</v>
      </c>
      <c r="Q22" s="25" t="e">
        <f aca="false">IF(#REF!="","",#REF!)</f>
        <v>#REF!</v>
      </c>
      <c r="R22" s="25" t="e">
        <f aca="false">IF(OR(Q22="",Q22="Team A",Q22="Team B"),1,0)</f>
        <v>#REF!</v>
      </c>
    </row>
    <row r="23" customFormat="false" ht="13.5" hidden="false" customHeight="false" outlineLevel="0" collapsed="false">
      <c r="A23" s="25" t="s">
        <v>76</v>
      </c>
      <c r="B23" s="25" t="s">
        <v>73</v>
      </c>
      <c r="C23" s="25" t="e">
        <f aca="false">IF(#REF!="","",#REF!)</f>
        <v>#REF!</v>
      </c>
      <c r="D23" s="25" t="e">
        <f aca="false">IF(#REF!="","",#REF!)</f>
        <v>#REF!</v>
      </c>
      <c r="E23" s="25" t="e">
        <f aca="false">IF(#REF!="","",IF(OR(#REF!="Team A",#REF!=#REF!),#REF!,IF(OR(#REF!="Team B",#REF!=#REF!),#REF!,#REF!)))</f>
        <v>#REF!</v>
      </c>
      <c r="F23" s="25" t="e">
        <f aca="false">IF(E23="",1,0)</f>
        <v>#REF!</v>
      </c>
      <c r="G23" s="30" t="e">
        <f aca="false">IF(E23="",0,IF(OR(E23="Team A",E23="Team B",E23=C23,E23=D23),0,1))</f>
        <v>#REF!</v>
      </c>
      <c r="H23" s="25" t="s">
        <v>201</v>
      </c>
      <c r="I23" s="25" t="s">
        <v>202</v>
      </c>
      <c r="J23" s="25"/>
      <c r="K23" s="25"/>
      <c r="L23" s="25"/>
      <c r="M23" s="25"/>
      <c r="N23" s="25" t="s">
        <v>48</v>
      </c>
      <c r="O23" s="25" t="s">
        <v>62</v>
      </c>
      <c r="P23" s="25" t="s">
        <v>203</v>
      </c>
      <c r="Q23" s="25" t="e">
        <f aca="false">IF(#REF!="","",#REF!)</f>
        <v>#REF!</v>
      </c>
      <c r="R23" s="25" t="e">
        <f aca="false">IF(OR(Q23="",Q23="Team A",Q23="Team B"),1,0)</f>
        <v>#REF!</v>
      </c>
    </row>
    <row r="24" customFormat="false" ht="13.5" hidden="false" customHeight="false" outlineLevel="0" collapsed="false">
      <c r="A24" s="25" t="s">
        <v>77</v>
      </c>
      <c r="B24" s="25" t="s">
        <v>73</v>
      </c>
      <c r="C24" s="25" t="e">
        <f aca="false">IF(#REF!="","",#REF!)</f>
        <v>#REF!</v>
      </c>
      <c r="D24" s="25" t="e">
        <f aca="false">IF(#REF!="","",#REF!)</f>
        <v>#REF!</v>
      </c>
      <c r="E24" s="25" t="e">
        <f aca="false">IF(#REF!="","",IF(OR(#REF!="Team A",#REF!=#REF!),#REF!,IF(OR(#REF!="Team B",#REF!=#REF!),#REF!,#REF!)))</f>
        <v>#REF!</v>
      </c>
      <c r="F24" s="25" t="e">
        <f aca="false">IF(E24="",1,0)</f>
        <v>#REF!</v>
      </c>
      <c r="G24" s="30" t="e">
        <f aca="false">IF(E24="",0,IF(OR(E24="Team A",E24="Team B",E24=C24,E24=D24),0,1))</f>
        <v>#REF!</v>
      </c>
      <c r="H24" s="25" t="s">
        <v>204</v>
      </c>
      <c r="I24" s="25" t="s">
        <v>205</v>
      </c>
      <c r="J24" s="25"/>
      <c r="K24" s="25"/>
      <c r="L24" s="25"/>
      <c r="M24" s="25"/>
      <c r="N24" s="25" t="s">
        <v>57</v>
      </c>
      <c r="O24" s="25" t="s">
        <v>61</v>
      </c>
      <c r="P24" s="25" t="s">
        <v>206</v>
      </c>
      <c r="Q24" s="25" t="e">
        <f aca="false">IF(#REF!="","",#REF!)</f>
        <v>#REF!</v>
      </c>
      <c r="R24" s="25" t="e">
        <f aca="false">IF(OR(Q24="",Q24="Team A",Q24="Team B"),1,0)</f>
        <v>#REF!</v>
      </c>
    </row>
    <row r="25" customFormat="false" ht="13.5" hidden="false" customHeight="false" outlineLevel="0" collapsed="false">
      <c r="A25" s="25" t="s">
        <v>78</v>
      </c>
      <c r="B25" s="25" t="s">
        <v>73</v>
      </c>
      <c r="C25" s="25" t="e">
        <f aca="false">IF(#REF!="","",#REF!)</f>
        <v>#REF!</v>
      </c>
      <c r="D25" s="25" t="e">
        <f aca="false">IF(#REF!="","",#REF!)</f>
        <v>#REF!</v>
      </c>
      <c r="E25" s="25" t="e">
        <f aca="false">IF(#REF!="","",IF(OR(#REF!="Team A",#REF!=#REF!),#REF!,IF(OR(#REF!="Team B",#REF!=#REF!),#REF!,#REF!)))</f>
        <v>#REF!</v>
      </c>
      <c r="F25" s="25" t="e">
        <f aca="false">IF(E25="",1,0)</f>
        <v>#REF!</v>
      </c>
      <c r="G25" s="30" t="e">
        <f aca="false">IF(E25="",0,IF(OR(E25="Team A",E25="Team B",E25=C25,E25=D25),0,1))</f>
        <v>#REF!</v>
      </c>
      <c r="H25" s="25" t="s">
        <v>207</v>
      </c>
      <c r="I25" s="25" t="s">
        <v>208</v>
      </c>
      <c r="J25" s="25"/>
      <c r="K25" s="25"/>
      <c r="L25" s="25"/>
      <c r="M25" s="25"/>
      <c r="N25" s="25" t="s">
        <v>57</v>
      </c>
      <c r="O25" s="25" t="s">
        <v>62</v>
      </c>
      <c r="P25" s="25" t="s">
        <v>209</v>
      </c>
      <c r="Q25" s="25" t="e">
        <f aca="false">IF(#REF!="","",#REF!)</f>
        <v>#REF!</v>
      </c>
      <c r="R25" s="25" t="e">
        <f aca="false">IF(OR(Q25="",Q25="Team A",Q25="Team B"),1,0)</f>
        <v>#REF!</v>
      </c>
    </row>
    <row r="26" customFormat="false" ht="13.5" hidden="false" customHeight="false" outlineLevel="0" collapsed="false">
      <c r="A26" s="25" t="s">
        <v>79</v>
      </c>
      <c r="B26" s="25" t="s">
        <v>73</v>
      </c>
      <c r="C26" s="25" t="e">
        <f aca="false">IF(#REF!="","",#REF!)</f>
        <v>#REF!</v>
      </c>
      <c r="D26" s="25" t="e">
        <f aca="false">IF(#REF!="","",#REF!)</f>
        <v>#REF!</v>
      </c>
      <c r="E26" s="25" t="e">
        <f aca="false">IF(#REF!="","",IF(OR(#REF!="Team A",#REF!=#REF!),#REF!,IF(OR(#REF!="Team B",#REF!=#REF!),#REF!,#REF!)))</f>
        <v>#REF!</v>
      </c>
      <c r="F26" s="25" t="e">
        <f aca="false">IF(E26="",1,0)</f>
        <v>#REF!</v>
      </c>
      <c r="G26" s="30" t="e">
        <f aca="false">IF(E26="",0,IF(OR(E26="Team A",E26="Team B",E26=C26,E26=D26),0,1))</f>
        <v>#REF!</v>
      </c>
      <c r="H26" s="25" t="s">
        <v>210</v>
      </c>
      <c r="I26" s="25" t="s">
        <v>211</v>
      </c>
      <c r="J26" s="25"/>
      <c r="K26" s="25"/>
      <c r="L26" s="25"/>
      <c r="M26" s="25"/>
      <c r="N26" s="25" t="s">
        <v>50</v>
      </c>
      <c r="O26" s="25" t="s">
        <v>61</v>
      </c>
      <c r="P26" s="25" t="s">
        <v>212</v>
      </c>
      <c r="Q26" s="25" t="e">
        <f aca="false">IF(#REF!="","",#REF!)</f>
        <v>#REF!</v>
      </c>
      <c r="R26" s="25" t="e">
        <f aca="false">IF(OR(Q26="",Q26="Team A",Q26="Team B"),1,0)</f>
        <v>#REF!</v>
      </c>
    </row>
    <row r="27" customFormat="false" ht="13.5" hidden="false" customHeight="false" outlineLevel="0" collapsed="false">
      <c r="A27" s="25" t="s">
        <v>80</v>
      </c>
      <c r="B27" s="25" t="s">
        <v>73</v>
      </c>
      <c r="C27" s="25" t="e">
        <f aca="false">IF(#REF!="","",#REF!)</f>
        <v>#REF!</v>
      </c>
      <c r="D27" s="25" t="e">
        <f aca="false">IF(#REF!="","",#REF!)</f>
        <v>#REF!</v>
      </c>
      <c r="E27" s="25" t="e">
        <f aca="false">IF(#REF!="","",IF(OR(#REF!="Team A",#REF!=#REF!),#REF!,IF(OR(#REF!="Team B",#REF!=#REF!),#REF!,#REF!)))</f>
        <v>#REF!</v>
      </c>
      <c r="F27" s="25" t="e">
        <f aca="false">IF(E27="",1,0)</f>
        <v>#REF!</v>
      </c>
      <c r="G27" s="30" t="e">
        <f aca="false">IF(E27="",0,IF(OR(E27="Team A",E27="Team B",E27=C27,E27=D27),0,1))</f>
        <v>#REF!</v>
      </c>
      <c r="H27" s="25" t="s">
        <v>213</v>
      </c>
      <c r="I27" s="25" t="s">
        <v>214</v>
      </c>
      <c r="J27" s="25"/>
      <c r="K27" s="25"/>
      <c r="L27" s="25"/>
      <c r="M27" s="25"/>
      <c r="N27" s="25" t="s">
        <v>50</v>
      </c>
      <c r="O27" s="25" t="s">
        <v>62</v>
      </c>
      <c r="P27" s="25" t="s">
        <v>215</v>
      </c>
      <c r="Q27" s="25" t="e">
        <f aca="false">IF(#REF!="","",#REF!)</f>
        <v>#REF!</v>
      </c>
      <c r="R27" s="25" t="e">
        <f aca="false">IF(OR(Q27="",Q27="Team A",Q27="Team B"),1,0)</f>
        <v>#REF!</v>
      </c>
    </row>
    <row r="28" customFormat="false" ht="13.5" hidden="false" customHeight="false" outlineLevel="0" collapsed="false">
      <c r="A28" s="25" t="s">
        <v>81</v>
      </c>
      <c r="B28" s="25" t="s">
        <v>82</v>
      </c>
      <c r="C28" s="25" t="e">
        <f aca="false">IF(#REF!="","",#REF!)</f>
        <v>#REF!</v>
      </c>
      <c r="D28" s="25" t="e">
        <f aca="false">IF(#REF!="","",#REF!)</f>
        <v>#REF!</v>
      </c>
      <c r="E28" s="25" t="e">
        <f aca="false">IF(#REF!="","",IF(OR(#REF!="Team A",#REF!=#REF!),#REF!,IF(OR(#REF!="Team B",#REF!=#REF!),#REF!,#REF!)))</f>
        <v>#REF!</v>
      </c>
      <c r="F28" s="25" t="e">
        <f aca="false">IF(E28="",1,0)</f>
        <v>#REF!</v>
      </c>
      <c r="G28" s="30" t="e">
        <f aca="false">IF(E28="",0,IF(OR(E28="Team A",E28="Team B",E28=C28,E28=D28),0,1))</f>
        <v>#REF!</v>
      </c>
      <c r="H28" s="25" t="s">
        <v>216</v>
      </c>
      <c r="I28" s="25" t="s">
        <v>217</v>
      </c>
      <c r="J28" s="25"/>
      <c r="K28" s="25"/>
      <c r="L28" s="25"/>
      <c r="M28" s="25"/>
    </row>
    <row r="29" customFormat="false" ht="13.5" hidden="false" customHeight="false" outlineLevel="0" collapsed="false">
      <c r="A29" s="25" t="s">
        <v>83</v>
      </c>
      <c r="B29" s="25" t="s">
        <v>82</v>
      </c>
      <c r="C29" s="25" t="e">
        <f aca="false">IF(#REF!="","",#REF!)</f>
        <v>#REF!</v>
      </c>
      <c r="D29" s="25" t="e">
        <f aca="false">IF(#REF!="","",#REF!)</f>
        <v>#REF!</v>
      </c>
      <c r="E29" s="25" t="e">
        <f aca="false">IF(#REF!="","",IF(OR(#REF!="Team A",#REF!=#REF!),#REF!,IF(OR(#REF!="Team B",#REF!=#REF!),#REF!,#REF!)))</f>
        <v>#REF!</v>
      </c>
      <c r="F29" s="25" t="e">
        <f aca="false">IF(E29="",1,0)</f>
        <v>#REF!</v>
      </c>
      <c r="G29" s="30" t="e">
        <f aca="false">IF(E29="",0,IF(OR(E29="Team A",E29="Team B",E29=C29,E29=D29),0,1))</f>
        <v>#REF!</v>
      </c>
      <c r="H29" s="25" t="s">
        <v>218</v>
      </c>
      <c r="I29" s="25" t="s">
        <v>219</v>
      </c>
      <c r="J29" s="25"/>
      <c r="K29" s="25"/>
      <c r="L29" s="25"/>
      <c r="M29" s="25"/>
    </row>
    <row r="30" customFormat="false" ht="13.5" hidden="false" customHeight="false" outlineLevel="0" collapsed="false">
      <c r="A30" s="25" t="s">
        <v>84</v>
      </c>
      <c r="B30" s="25" t="s">
        <v>82</v>
      </c>
      <c r="C30" s="25" t="e">
        <f aca="false">IF(#REF!="","",#REF!)</f>
        <v>#REF!</v>
      </c>
      <c r="D30" s="25" t="e">
        <f aca="false">IF(#REF!="","",#REF!)</f>
        <v>#REF!</v>
      </c>
      <c r="E30" s="25" t="e">
        <f aca="false">IF(#REF!="","",IF(OR(#REF!="Team A",#REF!=#REF!),#REF!,IF(OR(#REF!="Team B",#REF!=#REF!),#REF!,#REF!)))</f>
        <v>#REF!</v>
      </c>
      <c r="F30" s="25" t="e">
        <f aca="false">IF(E30="",1,0)</f>
        <v>#REF!</v>
      </c>
      <c r="G30" s="30" t="e">
        <f aca="false">IF(E30="",0,IF(OR(E30="Team A",E30="Team B",E30=C30,E30=D30),0,1))</f>
        <v>#REF!</v>
      </c>
      <c r="H30" s="25" t="s">
        <v>220</v>
      </c>
      <c r="I30" s="25" t="s">
        <v>221</v>
      </c>
      <c r="J30" s="25"/>
      <c r="K30" s="25"/>
      <c r="L30" s="25"/>
      <c r="M30" s="25"/>
    </row>
    <row r="31" customFormat="false" ht="13.5" hidden="false" customHeight="false" outlineLevel="0" collapsed="false">
      <c r="A31" s="25" t="s">
        <v>85</v>
      </c>
      <c r="B31" s="25" t="s">
        <v>82</v>
      </c>
      <c r="C31" s="25" t="e">
        <f aca="false">IF(#REF!="","",#REF!)</f>
        <v>#REF!</v>
      </c>
      <c r="D31" s="25" t="e">
        <f aca="false">IF(#REF!="","",#REF!)</f>
        <v>#REF!</v>
      </c>
      <c r="E31" s="25" t="e">
        <f aca="false">IF(#REF!="","",IF(OR(#REF!="Team A",#REF!=#REF!),#REF!,IF(OR(#REF!="Team B",#REF!=#REF!),#REF!,#REF!)))</f>
        <v>#REF!</v>
      </c>
      <c r="F31" s="25" t="e">
        <f aca="false">IF(E31="",1,0)</f>
        <v>#REF!</v>
      </c>
      <c r="G31" s="30" t="e">
        <f aca="false">IF(E31="",0,IF(OR(E31="Team A",E31="Team B",E31=C31,E31=D31),0,1))</f>
        <v>#REF!</v>
      </c>
      <c r="H31" s="25" t="s">
        <v>222</v>
      </c>
      <c r="I31" s="25" t="s">
        <v>223</v>
      </c>
      <c r="J31" s="25"/>
      <c r="K31" s="25"/>
      <c r="L31" s="25"/>
      <c r="M31" s="25"/>
    </row>
    <row r="32" customFormat="false" ht="13.5" hidden="false" customHeight="false" outlineLevel="0" collapsed="false">
      <c r="A32" s="25" t="s">
        <v>86</v>
      </c>
      <c r="B32" s="25" t="s">
        <v>87</v>
      </c>
      <c r="C32" s="25" t="e">
        <f aca="false">IF(#REF!="","",#REF!)</f>
        <v>#REF!</v>
      </c>
      <c r="D32" s="25" t="e">
        <f aca="false">IF(#REF!="","",#REF!)</f>
        <v>#REF!</v>
      </c>
      <c r="E32" s="25" t="e">
        <f aca="false">IF(#REF!="","",IF(OR(#REF!="Team A",#REF!=#REF!),#REF!,IF(OR(#REF!="Team B",#REF!=#REF!),#REF!,#REF!)))</f>
        <v>#REF!</v>
      </c>
      <c r="F32" s="25" t="e">
        <f aca="false">IF(E32="",1,0)</f>
        <v>#REF!</v>
      </c>
      <c r="G32" s="30" t="e">
        <f aca="false">IF(E32="",0,IF(OR(E32="Team A",E32="Team B",E32=C32,E32=D32),0,1))</f>
        <v>#REF!</v>
      </c>
      <c r="H32" s="25" t="s">
        <v>224</v>
      </c>
      <c r="I32" s="25" t="s">
        <v>225</v>
      </c>
      <c r="J32" s="25"/>
      <c r="K32" s="25"/>
      <c r="L32" s="25"/>
      <c r="M32" s="25"/>
    </row>
    <row r="33" customFormat="false" ht="13.5" hidden="false" customHeight="false" outlineLevel="0" collapsed="false">
      <c r="A33" s="25" t="s">
        <v>88</v>
      </c>
      <c r="B33" s="25" t="s">
        <v>87</v>
      </c>
      <c r="C33" s="25" t="e">
        <f aca="false">IF(#REF!="","",#REF!)</f>
        <v>#REF!</v>
      </c>
      <c r="D33" s="25" t="e">
        <f aca="false">IF(#REF!="","",#REF!)</f>
        <v>#REF!</v>
      </c>
      <c r="E33" s="25" t="e">
        <f aca="false">IF(#REF!="","",IF(OR(#REF!="Team A",#REF!=#REF!),#REF!,IF(OR(#REF!="Team B",#REF!=#REF!),#REF!,#REF!)))</f>
        <v>#REF!</v>
      </c>
      <c r="F33" s="25" t="e">
        <f aca="false">IF(E33="",1,0)</f>
        <v>#REF!</v>
      </c>
      <c r="G33" s="30" t="e">
        <f aca="false">IF(E33="",0,IF(OR(E33="Team A",E33="Team B",E33=C33,E33=D33),0,1))</f>
        <v>#REF!</v>
      </c>
      <c r="H33" s="25" t="s">
        <v>226</v>
      </c>
      <c r="I33" s="25" t="s">
        <v>227</v>
      </c>
      <c r="J33" s="25"/>
      <c r="K33" s="25"/>
      <c r="L33" s="25"/>
      <c r="M33" s="25"/>
    </row>
    <row r="34" customFormat="false" ht="13.5" hidden="false" customHeight="false" outlineLevel="0" collapsed="false">
      <c r="A34" s="25" t="s">
        <v>89</v>
      </c>
      <c r="B34" s="25" t="s">
        <v>11</v>
      </c>
      <c r="C34" s="25" t="e">
        <f aca="false">IF(#REF!="","",#REF!)</f>
        <v>#REF!</v>
      </c>
      <c r="D34" s="25" t="e">
        <f aca="false">IF(#REF!="","",#REF!)</f>
        <v>#REF!</v>
      </c>
      <c r="E34" s="25" t="e">
        <f aca="false">IF(#REF!="","",IF(OR(#REF!="Team A",#REF!=#REF!),#REF!,IF(OR(#REF!="Team B",#REF!=#REF!),#REF!,#REF!)))</f>
        <v>#REF!</v>
      </c>
      <c r="F34" s="25" t="e">
        <f aca="false">IF(E34="",1,0)</f>
        <v>#REF!</v>
      </c>
      <c r="G34" s="30" t="e">
        <f aca="false">IF(E34="",0,IF(OR(E34="Team A",E34="Team B",E34=C34,E34=D34),0,1))</f>
        <v>#REF!</v>
      </c>
      <c r="H34" s="25" t="s">
        <v>228</v>
      </c>
      <c r="I34" s="25" t="s">
        <v>229</v>
      </c>
      <c r="J34" s="25"/>
      <c r="K34" s="25"/>
      <c r="L34" s="25"/>
      <c r="M34" s="25"/>
    </row>
    <row r="35" customFormat="false" ht="13.5" hidden="false" customHeight="fals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customFormat="false" ht="13.5" hidden="false" customHeight="fals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</sheetData>
  <mergeCells count="2">
    <mergeCell ref="A1:M1"/>
    <mergeCell ref="N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2026-06-25T22:54:24Z</dcterms:created>
  <dc:creator>Alex Pusch</dc:creator>
  <dc:description/>
  <dc:language>en-US</dc:language>
  <cp:lastModifiedBy>Jake Lish</cp:lastModifiedBy>
  <dcterms:modified xsi:type="dcterms:W3CDTF">2026-06-26T20:37:04Z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