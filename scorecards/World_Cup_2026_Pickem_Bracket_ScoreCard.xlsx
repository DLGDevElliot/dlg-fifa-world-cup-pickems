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liotA\Downloads\"/>
    </mc:Choice>
  </mc:AlternateContent>
  <xr:revisionPtr revIDLastSave="0" documentId="13_ncr:1_{210D2E68-7CE5-4727-A59F-293006570E4D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Alex Pusch" sheetId="9" r:id="rId1"/>
    <sheet name="Aaron Hudson" sheetId="7" r:id="rId2"/>
    <sheet name="Elliot" sheetId="10" r:id="rId3"/>
    <sheet name="Joey Hoke" sheetId="11" r:id="rId4"/>
    <sheet name="Kingsley Dunkley" sheetId="12" r:id="rId5"/>
    <sheet name="Results" sheetId="8" r:id="rId6"/>
    <sheet name="Teams" sheetId="4" r:id="rId7"/>
  </sheets>
  <externalReferences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2" l="1"/>
  <c r="B26" i="12"/>
  <c r="B22" i="12"/>
  <c r="B15" i="12"/>
  <c r="F4" i="12"/>
  <c r="E4" i="12"/>
  <c r="D4" i="12"/>
  <c r="C4" i="12"/>
  <c r="B4" i="12"/>
  <c r="F3" i="12" s="1"/>
  <c r="B35" i="11"/>
  <c r="B26" i="11"/>
  <c r="B22" i="11"/>
  <c r="B15" i="11"/>
  <c r="F4" i="11"/>
  <c r="E4" i="11"/>
  <c r="D4" i="11"/>
  <c r="C4" i="11"/>
  <c r="B4" i="11"/>
  <c r="F3" i="11" s="1"/>
  <c r="F4" i="10"/>
  <c r="E4" i="10"/>
  <c r="D4" i="10"/>
  <c r="C4" i="10"/>
  <c r="B4" i="10"/>
  <c r="F3" i="10" s="1"/>
  <c r="B35" i="9"/>
  <c r="B26" i="9"/>
  <c r="B22" i="9"/>
  <c r="B15" i="9"/>
  <c r="F4" i="9"/>
  <c r="E4" i="9"/>
  <c r="D4" i="9"/>
  <c r="C4" i="9"/>
  <c r="B4" i="9"/>
  <c r="B15" i="7"/>
  <c r="B22" i="7"/>
  <c r="B26" i="7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G32" i="8"/>
  <c r="F4" i="7" s="1"/>
  <c r="G31" i="8"/>
  <c r="G30" i="8"/>
  <c r="E4" i="7" s="1"/>
  <c r="G29" i="8"/>
  <c r="G28" i="8"/>
  <c r="G27" i="8"/>
  <c r="G26" i="8"/>
  <c r="D4" i="7" s="1"/>
  <c r="G25" i="8"/>
  <c r="G24" i="8"/>
  <c r="G23" i="8"/>
  <c r="G22" i="8"/>
  <c r="G21" i="8"/>
  <c r="G20" i="8"/>
  <c r="C4" i="7" s="1"/>
  <c r="G19" i="8"/>
  <c r="G18" i="8"/>
  <c r="G17" i="8"/>
  <c r="D16" i="8"/>
  <c r="C16" i="8"/>
  <c r="G16" i="8"/>
  <c r="D15" i="8"/>
  <c r="G15" i="8"/>
  <c r="D14" i="8"/>
  <c r="C14" i="8"/>
  <c r="G14" i="8"/>
  <c r="C13" i="8"/>
  <c r="G13" i="8"/>
  <c r="D12" i="8"/>
  <c r="C12" i="8"/>
  <c r="G12" i="8"/>
  <c r="D11" i="8"/>
  <c r="C11" i="8"/>
  <c r="G11" i="8"/>
  <c r="C10" i="8"/>
  <c r="G10" i="8"/>
  <c r="D9" i="8"/>
  <c r="C9" i="8"/>
  <c r="G9" i="8"/>
  <c r="C8" i="8"/>
  <c r="G8" i="8"/>
  <c r="D7" i="8"/>
  <c r="C7" i="8"/>
  <c r="G7" i="8"/>
  <c r="D6" i="8"/>
  <c r="G6" i="8"/>
  <c r="D5" i="8"/>
  <c r="G5" i="8"/>
  <c r="D4" i="8"/>
  <c r="C4" i="8"/>
  <c r="G4" i="8"/>
  <c r="D3" i="8"/>
  <c r="C3" i="8"/>
  <c r="G3" i="8"/>
  <c r="C2" i="8"/>
  <c r="G2" i="8"/>
  <c r="B4" i="7" s="1"/>
  <c r="E31" i="4"/>
  <c r="E30" i="4"/>
  <c r="E29" i="4"/>
  <c r="E28" i="4"/>
  <c r="E27" i="4"/>
  <c r="E26" i="4"/>
  <c r="E25" i="4"/>
  <c r="E24" i="4"/>
  <c r="E23" i="4"/>
  <c r="E22" i="4"/>
  <c r="E21" i="4"/>
  <c r="E19" i="4"/>
  <c r="E17" i="4"/>
  <c r="E16" i="4"/>
  <c r="E15" i="4"/>
  <c r="E13" i="4"/>
  <c r="E11" i="4"/>
  <c r="E9" i="4"/>
  <c r="E8" i="4"/>
  <c r="E5" i="4"/>
  <c r="F3" i="9" l="1"/>
  <c r="B35" i="7"/>
  <c r="E32" i="4"/>
  <c r="E33" i="4"/>
  <c r="F31" i="4"/>
  <c r="G25" i="4"/>
  <c r="C25" i="4"/>
  <c r="C24" i="4"/>
  <c r="C21" i="4"/>
  <c r="F16" i="4"/>
  <c r="D20" i="4"/>
  <c r="F19" i="4"/>
  <c r="F5" i="4"/>
  <c r="D27" i="4"/>
  <c r="C27" i="4"/>
  <c r="F26" i="4"/>
  <c r="F22" i="4"/>
  <c r="F11" i="4"/>
  <c r="C33" i="4"/>
  <c r="F32" i="4"/>
  <c r="G21" i="4"/>
  <c r="D32" i="4"/>
  <c r="C32" i="4"/>
  <c r="D31" i="4"/>
  <c r="D30" i="4"/>
  <c r="F25" i="4"/>
  <c r="C22" i="4"/>
  <c r="F13" i="4"/>
  <c r="D34" i="4"/>
  <c r="C31" i="4"/>
  <c r="F30" i="4"/>
  <c r="C30" i="4"/>
  <c r="D29" i="4"/>
  <c r="F28" i="4"/>
  <c r="D28" i="4"/>
  <c r="G27" i="4"/>
  <c r="F27" i="4"/>
  <c r="F24" i="4"/>
  <c r="G23" i="4"/>
  <c r="F9" i="4"/>
  <c r="F8" i="4"/>
  <c r="F29" i="4"/>
  <c r="C29" i="4"/>
  <c r="D23" i="4"/>
  <c r="F23" i="4"/>
  <c r="D33" i="4"/>
  <c r="F15" i="4"/>
  <c r="D26" i="4"/>
  <c r="C26" i="4"/>
  <c r="D25" i="4"/>
  <c r="D24" i="4"/>
  <c r="C23" i="4"/>
  <c r="F21" i="4"/>
  <c r="D22" i="4"/>
  <c r="D21" i="4"/>
  <c r="F17" i="4"/>
  <c r="F3" i="7" l="1"/>
  <c r="E18" i="4"/>
  <c r="F18" i="4" s="1"/>
  <c r="E14" i="4"/>
  <c r="F14" i="4" s="1"/>
  <c r="E12" i="4"/>
  <c r="F12" i="4" s="1"/>
  <c r="E10" i="4"/>
  <c r="F10" i="4" s="1"/>
  <c r="E7" i="4"/>
  <c r="F7" i="4" s="1"/>
  <c r="E6" i="4"/>
  <c r="F6" i="4" s="1"/>
  <c r="C34" i="4"/>
  <c r="F33" i="4"/>
  <c r="E34" i="4"/>
  <c r="G32" i="4"/>
  <c r="G33" i="4"/>
  <c r="G31" i="4"/>
  <c r="G29" i="4"/>
  <c r="G30" i="4"/>
  <c r="G26" i="4"/>
  <c r="G22" i="4"/>
  <c r="G24" i="4"/>
  <c r="E4" i="4"/>
  <c r="F4" i="4" s="1"/>
  <c r="D19" i="4"/>
  <c r="Q25" i="4"/>
  <c r="R25" i="4" s="1"/>
  <c r="C19" i="4"/>
  <c r="Q24" i="4"/>
  <c r="R24" i="4" s="1"/>
  <c r="D18" i="4"/>
  <c r="Q21" i="4"/>
  <c r="R21" i="4" s="1"/>
  <c r="C18" i="4"/>
  <c r="Q27" i="4"/>
  <c r="R27" i="4" s="1"/>
  <c r="D17" i="4"/>
  <c r="C17" i="4"/>
  <c r="Q26" i="4"/>
  <c r="R26" i="4" s="1"/>
  <c r="D16" i="4"/>
  <c r="Q23" i="4"/>
  <c r="R23" i="4" s="1"/>
  <c r="Q22" i="4"/>
  <c r="R22" i="4" s="1"/>
  <c r="C16" i="4"/>
  <c r="Q13" i="4"/>
  <c r="R13" i="4" s="1"/>
  <c r="D15" i="4"/>
  <c r="Q12" i="4"/>
  <c r="R12" i="4" s="1"/>
  <c r="C15" i="4"/>
  <c r="Q11" i="4"/>
  <c r="R11" i="4" s="1"/>
  <c r="D14" i="4"/>
  <c r="C14" i="4"/>
  <c r="D13" i="4"/>
  <c r="Q10" i="4"/>
  <c r="R10" i="4" s="1"/>
  <c r="C13" i="4"/>
  <c r="Q9" i="4"/>
  <c r="R9" i="4" s="1"/>
  <c r="Q6" i="4"/>
  <c r="R6" i="4" s="1"/>
  <c r="D12" i="4"/>
  <c r="C12" i="4"/>
  <c r="D11" i="4"/>
  <c r="Q16" i="4"/>
  <c r="R16" i="4" s="1"/>
  <c r="C11" i="4"/>
  <c r="Q15" i="4"/>
  <c r="R15" i="4" s="1"/>
  <c r="Q14" i="4"/>
  <c r="R14" i="4" s="1"/>
  <c r="D10" i="4"/>
  <c r="C10" i="4"/>
  <c r="Q20" i="4"/>
  <c r="R20" i="4" s="1"/>
  <c r="D9" i="4"/>
  <c r="Q19" i="4"/>
  <c r="R19" i="4" s="1"/>
  <c r="C9" i="4"/>
  <c r="Q18" i="4"/>
  <c r="R18" i="4" s="1"/>
  <c r="D8" i="4"/>
  <c r="C8" i="4"/>
  <c r="Q17" i="4"/>
  <c r="R17" i="4" s="1"/>
  <c r="D7" i="4"/>
  <c r="Q5" i="4"/>
  <c r="R5" i="4" s="1"/>
  <c r="C7" i="4"/>
  <c r="D6" i="4"/>
  <c r="C6" i="4"/>
  <c r="D5" i="4"/>
  <c r="Q8" i="4"/>
  <c r="R8" i="4" s="1"/>
  <c r="C5" i="4"/>
  <c r="Q7" i="4"/>
  <c r="R7" i="4" s="1"/>
  <c r="Q4" i="4"/>
  <c r="R4" i="4" s="1"/>
  <c r="D4" i="4"/>
  <c r="C4" i="4"/>
  <c r="G6" i="4" l="1"/>
  <c r="G13" i="4"/>
  <c r="F34" i="4"/>
  <c r="G34" i="4"/>
  <c r="G12" i="4"/>
  <c r="G17" i="4"/>
  <c r="G18" i="4"/>
  <c r="G19" i="4"/>
  <c r="G4" i="4"/>
  <c r="G9" i="4"/>
  <c r="G8" i="4"/>
  <c r="G14" i="4"/>
  <c r="G11" i="4"/>
  <c r="G5" i="4"/>
  <c r="G16" i="4"/>
  <c r="G15" i="4"/>
  <c r="G10" i="4"/>
  <c r="G7" i="4"/>
  <c r="C20" i="4"/>
  <c r="E20" i="4"/>
  <c r="L4" i="4"/>
  <c r="C28" i="4" l="1"/>
  <c r="G28" i="4" s="1"/>
  <c r="F20" i="4"/>
  <c r="L2" i="4" s="1"/>
  <c r="G20" i="4"/>
  <c r="L3" i="4" l="1"/>
</calcChain>
</file>

<file path=xl/sharedStrings.xml><?xml version="1.0" encoding="utf-8"?>
<sst xmlns="http://schemas.openxmlformats.org/spreadsheetml/2006/main" count="990" uniqueCount="234">
  <si>
    <t>2026 FIFA World Cup Pick'em Bracket</t>
  </si>
  <si>
    <t>Fill yellow pick cells from left to right. Organizer updates team names on Setup after group play.</t>
  </si>
  <si>
    <t>Score</t>
  </si>
  <si>
    <t>Round of 32</t>
  </si>
  <si>
    <t>Round of 16</t>
  </si>
  <si>
    <t>Final</t>
  </si>
  <si>
    <t>Game 1</t>
  </si>
  <si>
    <t>Game 17</t>
  </si>
  <si>
    <t>Game 2</t>
  </si>
  <si>
    <t>Game 25</t>
  </si>
  <si>
    <t>Game 3</t>
  </si>
  <si>
    <t>Game 18</t>
  </si>
  <si>
    <t>Game 4</t>
  </si>
  <si>
    <t>Game 29</t>
  </si>
  <si>
    <t>Game 5</t>
  </si>
  <si>
    <t>Game 19</t>
  </si>
  <si>
    <t>Game 6</t>
  </si>
  <si>
    <t>Game 26</t>
  </si>
  <si>
    <t>Game 7</t>
  </si>
  <si>
    <t>Game 20</t>
  </si>
  <si>
    <t>Game 8</t>
  </si>
  <si>
    <t>Game 31</t>
  </si>
  <si>
    <t>Game 9</t>
  </si>
  <si>
    <t>Game 21</t>
  </si>
  <si>
    <t>Game 10</t>
  </si>
  <si>
    <t>Game 27</t>
  </si>
  <si>
    <t>Game 11</t>
  </si>
  <si>
    <t>Game 22</t>
  </si>
  <si>
    <t>Game 12</t>
  </si>
  <si>
    <t>Game 30</t>
  </si>
  <si>
    <t>Game 13</t>
  </si>
  <si>
    <t>Game 23</t>
  </si>
  <si>
    <t>Game 14</t>
  </si>
  <si>
    <t>Game 28</t>
  </si>
  <si>
    <t>Game 15</t>
  </si>
  <si>
    <t>Game 24</t>
  </si>
  <si>
    <t>Game 16</t>
  </si>
  <si>
    <t>Round</t>
  </si>
  <si>
    <t>Points</t>
  </si>
  <si>
    <t>R32</t>
  </si>
  <si>
    <t>R16</t>
  </si>
  <si>
    <t>QF</t>
  </si>
  <si>
    <t>SF</t>
  </si>
  <si>
    <t>Mexico</t>
  </si>
  <si>
    <t>South Africa</t>
  </si>
  <si>
    <t>Switzerland</t>
  </si>
  <si>
    <t>Canada</t>
  </si>
  <si>
    <t>Bosnia and Herzegovina</t>
  </si>
  <si>
    <t>Brazil</t>
  </si>
  <si>
    <t>Morocco</t>
  </si>
  <si>
    <t>United States</t>
  </si>
  <si>
    <t>Germany</t>
  </si>
  <si>
    <t>Game</t>
  </si>
  <si>
    <t>Team A</t>
  </si>
  <si>
    <t>Team B</t>
  </si>
  <si>
    <t>Actual Winner</t>
  </si>
  <si>
    <t>Workbook Checks</t>
  </si>
  <si>
    <t>Summary</t>
  </si>
  <si>
    <t>Opening Team Checks</t>
  </si>
  <si>
    <t>Game 1 Team B</t>
  </si>
  <si>
    <t>Game 4 Team A</t>
  </si>
  <si>
    <t>Game 9 Team B</t>
  </si>
  <si>
    <t>Game 2 Team A</t>
  </si>
  <si>
    <t>Game 2 Team B</t>
  </si>
  <si>
    <t>Game 10 Team A</t>
  </si>
  <si>
    <t>Game 10 Team B</t>
  </si>
  <si>
    <t>Game 11 Team B</t>
  </si>
  <si>
    <t>Game 12 Team A</t>
  </si>
  <si>
    <t>Game 12 Team B</t>
  </si>
  <si>
    <t>Game 7 Team B</t>
  </si>
  <si>
    <t>Game 8 Team A</t>
  </si>
  <si>
    <t>Game 8 Team B</t>
  </si>
  <si>
    <t>Game 5 Team A</t>
  </si>
  <si>
    <t>Game 5 Team B</t>
  </si>
  <si>
    <t>Game 6 Team A</t>
  </si>
  <si>
    <t>Game 6 Team B</t>
  </si>
  <si>
    <t>Game 15 Team B</t>
  </si>
  <si>
    <t>Game 13 Team A</t>
  </si>
  <si>
    <t>Game 13 Team B</t>
  </si>
  <si>
    <t>Game 16 Team A</t>
  </si>
  <si>
    <t>Game 16 Team B</t>
  </si>
  <si>
    <t>Game 14 Team A</t>
  </si>
  <si>
    <t>Game 14 Team B</t>
  </si>
  <si>
    <t>Game Picks Left</t>
  </si>
  <si>
    <t>South Korea</t>
  </si>
  <si>
    <t>Netherlands</t>
  </si>
  <si>
    <t>France</t>
  </si>
  <si>
    <t>Scotland</t>
  </si>
  <si>
    <t>Ivory Coast</t>
  </si>
  <si>
    <t>England</t>
  </si>
  <si>
    <t>Belgium</t>
  </si>
  <si>
    <t>Portugal</t>
  </si>
  <si>
    <t>Spain</t>
  </si>
  <si>
    <t>Argentina</t>
  </si>
  <si>
    <t>Paraguay</t>
  </si>
  <si>
    <t>Pick</t>
  </si>
  <si>
    <t>Blank Flag</t>
  </si>
  <si>
    <t>Invalid Flag</t>
  </si>
  <si>
    <t>Pick Cell</t>
  </si>
  <si>
    <t>Candidate Range</t>
  </si>
  <si>
    <t>Invalid Picks</t>
  </si>
  <si>
    <t>Side</t>
  </si>
  <si>
    <t>Cell</t>
  </si>
  <si>
    <t>Selection</t>
  </si>
  <si>
    <t>Missing Flag</t>
  </si>
  <si>
    <t>Czechia</t>
  </si>
  <si>
    <t>Japan</t>
  </si>
  <si>
    <t>Senegal</t>
  </si>
  <si>
    <t>Haiti</t>
  </si>
  <si>
    <t>Ecuador</t>
  </si>
  <si>
    <t>Croatia</t>
  </si>
  <si>
    <t>Egypt</t>
  </si>
  <si>
    <t>DR Congo</t>
  </si>
  <si>
    <t>Cape Verde</t>
  </si>
  <si>
    <t>Algeria</t>
  </si>
  <si>
    <t>Australia</t>
  </si>
  <si>
    <t>D7</t>
  </si>
  <si>
    <t>B7:C7</t>
  </si>
  <si>
    <t>Team Picks Left</t>
  </si>
  <si>
    <t>C7</t>
  </si>
  <si>
    <t>Sweden</t>
  </si>
  <si>
    <t>Iraq</t>
  </si>
  <si>
    <t>Curacao</t>
  </si>
  <si>
    <t>Ghana</t>
  </si>
  <si>
    <t>Iran</t>
  </si>
  <si>
    <t>Uzbekistan</t>
  </si>
  <si>
    <t>Saudi Arabia</t>
  </si>
  <si>
    <t>Austria</t>
  </si>
  <si>
    <t>Turkey</t>
  </si>
  <si>
    <t>D9</t>
  </si>
  <si>
    <t>B9:C9</t>
  </si>
  <si>
    <t>B13</t>
  </si>
  <si>
    <t>Tunisia</t>
  </si>
  <si>
    <t>Norway</t>
  </si>
  <si>
    <t>Panama</t>
  </si>
  <si>
    <t>New Zealand</t>
  </si>
  <si>
    <t>Colombia</t>
  </si>
  <si>
    <t>Uruguay</t>
  </si>
  <si>
    <t>Jordan</t>
  </si>
  <si>
    <t>D11</t>
  </si>
  <si>
    <t>B11:C11</t>
  </si>
  <si>
    <t>C23</t>
  </si>
  <si>
    <t>D13</t>
  </si>
  <si>
    <t>B13:C13</t>
  </si>
  <si>
    <t>B9</t>
  </si>
  <si>
    <t>D15</t>
  </si>
  <si>
    <t>B15:C15</t>
  </si>
  <si>
    <t>C9</t>
  </si>
  <si>
    <t>D17</t>
  </si>
  <si>
    <t>B17:C17</t>
  </si>
  <si>
    <t>B25</t>
  </si>
  <si>
    <t>D19</t>
  </si>
  <si>
    <t>B19:C19</t>
  </si>
  <si>
    <t>C25</t>
  </si>
  <si>
    <t>D21</t>
  </si>
  <si>
    <t>B21:C21</t>
  </si>
  <si>
    <t>C27</t>
  </si>
  <si>
    <t>D23</t>
  </si>
  <si>
    <t>B23:C23</t>
  </si>
  <si>
    <t>B29</t>
  </si>
  <si>
    <t>D25</t>
  </si>
  <si>
    <t>B25:C25</t>
  </si>
  <si>
    <t>C29</t>
  </si>
  <si>
    <t>D27</t>
  </si>
  <si>
    <t>B27:C27</t>
  </si>
  <si>
    <t>C19</t>
  </si>
  <si>
    <t>D29</t>
  </si>
  <si>
    <t>B29:C29</t>
  </si>
  <si>
    <t>B21</t>
  </si>
  <si>
    <t>D31</t>
  </si>
  <si>
    <t>B31:C31</t>
  </si>
  <si>
    <t>C21</t>
  </si>
  <si>
    <t>D33</t>
  </si>
  <si>
    <t>B33:C33</t>
  </si>
  <si>
    <t>B15</t>
  </si>
  <si>
    <t>D35</t>
  </si>
  <si>
    <t>B35:C35</t>
  </si>
  <si>
    <t>C15</t>
  </si>
  <si>
    <t>D37</t>
  </si>
  <si>
    <t>B37:C37</t>
  </si>
  <si>
    <t>B17</t>
  </si>
  <si>
    <t>I8</t>
  </si>
  <si>
    <t>G8:H8</t>
  </si>
  <si>
    <t>C17</t>
  </si>
  <si>
    <t>I12</t>
  </si>
  <si>
    <t>G12:H12</t>
  </si>
  <si>
    <t>C35</t>
  </si>
  <si>
    <t>I16</t>
  </si>
  <si>
    <t>G16:H16</t>
  </si>
  <si>
    <t>B31</t>
  </si>
  <si>
    <t>I20</t>
  </si>
  <si>
    <t>G20:H20</t>
  </si>
  <si>
    <t>C31</t>
  </si>
  <si>
    <t>I24</t>
  </si>
  <si>
    <t>G24:H24</t>
  </si>
  <si>
    <t>B37</t>
  </si>
  <si>
    <t>I28</t>
  </si>
  <si>
    <t>G28:H28</t>
  </si>
  <si>
    <t>C37</t>
  </si>
  <si>
    <t>I32</t>
  </si>
  <si>
    <t>G32:H32</t>
  </si>
  <si>
    <t>B33</t>
  </si>
  <si>
    <t>I36</t>
  </si>
  <si>
    <t>G36:H36</t>
  </si>
  <si>
    <t>C33</t>
  </si>
  <si>
    <t>M10</t>
  </si>
  <si>
    <t>K10:L10</t>
  </si>
  <si>
    <t>M18</t>
  </si>
  <si>
    <t>K18:L18</t>
  </si>
  <si>
    <t>M26</t>
  </si>
  <si>
    <t>K26:L26</t>
  </si>
  <si>
    <t>M34</t>
  </si>
  <si>
    <t>K34:L34</t>
  </si>
  <si>
    <t>Q14</t>
  </si>
  <si>
    <t>O14:P14</t>
  </si>
  <si>
    <t>Q30</t>
  </si>
  <si>
    <t>O30:P30</t>
  </si>
  <si>
    <t>U22</t>
  </si>
  <si>
    <t>S22:T22</t>
  </si>
  <si>
    <t>Name</t>
  </si>
  <si>
    <t>Quarter Finals</t>
  </si>
  <si>
    <t>Semi Finals</t>
  </si>
  <si>
    <t>3rd D/E/I/J/L</t>
  </si>
  <si>
    <t>World Cup Winner</t>
  </si>
  <si>
    <t xml:space="preserve">Points </t>
  </si>
  <si>
    <t>Actual Goals</t>
  </si>
  <si>
    <t>3rd A/B/C/D/F</t>
  </si>
  <si>
    <t>Columbia</t>
  </si>
  <si>
    <t>Total Goals Scored</t>
  </si>
  <si>
    <t>Aaron Hudson</t>
  </si>
  <si>
    <t>Alex Pusch</t>
  </si>
  <si>
    <t>Joey Hoke</t>
  </si>
  <si>
    <t>Kingsley Dunkley</t>
  </si>
  <si>
    <t>Elliot Cameron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</si>
</sst>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FFFFFF"/>
      <name val="Carlito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1D4E89"/>
      <name val="Carlito"/>
    </font>
    <font>
      <b/>
      <sz val="11"/>
      <color rgb="FF0B5D3B"/>
      <name val="Carlito"/>
    </font>
    <font>
      <b/>
      <sz val="11"/>
      <color rgb="FFFFFFFF"/>
      <name val="Carlito"/>
    </font>
    <font>
      <sz val="11"/>
      <color rgb="FF17202A"/>
      <name val="Carlito"/>
    </font>
    <font>
      <sz val="11"/>
      <color rgb="FF9B1C1C"/>
      <name val="Carlito"/>
    </font>
    <font>
      <sz val="11"/>
      <color rgb="FF9C5700"/>
      <name val="Calibri"/>
      <family val="2"/>
      <scheme val="minor"/>
    </font>
    <font>
      <sz val="11"/>
      <name val="Carlito"/>
    </font>
    <font>
      <sz val="11"/>
      <color rgb="FF000000"/>
      <name val="Calibri"/>
      <scheme val="minor"/>
    </font>
    <font>
      <sz val="11"/>
      <name val="Arial"/>
    </font>
  </fonts>
  <fills count="21">
    <fill>
      <patternFill patternType="none"/>
    </fill>
    <fill>
      <patternFill patternType="gray125"/>
    </fill>
    <fill>
      <patternFill patternType="solid">
        <fgColor rgb="FF0B5D3B"/>
      </patternFill>
    </fill>
    <fill>
      <patternFill patternType="solid">
        <fgColor rgb="FFFFF3C4"/>
      </patternFill>
    </fill>
    <fill>
      <patternFill patternType="solid">
        <fgColor rgb="FFDDEBFF"/>
      </patternFill>
    </fill>
    <fill>
      <patternFill patternType="solid">
        <fgColor rgb="FFDFF3E6"/>
      </patternFill>
    </fill>
    <fill>
      <patternFill patternType="solid">
        <fgColor rgb="FF1D4E89"/>
      </patternFill>
    </fill>
    <fill>
      <patternFill patternType="solid">
        <fgColor rgb="FFF4F6F8"/>
      </patternFill>
    </fill>
    <fill>
      <patternFill patternType="solid">
        <fgColor rgb="FFFCE4E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0B5D3B"/>
        <bgColor rgb="FF0B5D3B"/>
      </patternFill>
    </fill>
    <fill>
      <patternFill patternType="solid">
        <fgColor rgb="FFFFF3C4"/>
        <bgColor rgb="FFFFF3C4"/>
      </patternFill>
    </fill>
    <fill>
      <patternFill patternType="solid">
        <fgColor rgb="FFDFF3E6"/>
        <bgColor rgb="FFDFF3E6"/>
      </patternFill>
    </fill>
    <fill>
      <patternFill patternType="solid">
        <fgColor rgb="FFC1F0C8"/>
        <bgColor rgb="FFC1F0C8"/>
      </patternFill>
    </fill>
    <fill>
      <patternFill patternType="solid">
        <fgColor rgb="FFF4F6F8"/>
        <bgColor rgb="FFF4F6F8"/>
      </patternFill>
    </fill>
    <fill>
      <patternFill patternType="solid">
        <fgColor rgb="FFAEAEAE"/>
        <bgColor rgb="FFAEAEAE"/>
      </patternFill>
    </fill>
    <fill>
      <patternFill patternType="solid">
        <fgColor rgb="FFDDEBFF"/>
        <bgColor rgb="FFDDEBFF"/>
      </patternFill>
    </fill>
  </fills>
  <borders count="33">
    <border>
      <left/>
      <right/>
      <top/>
      <bottom/>
      <diagonal/>
    </border>
    <border>
      <left style="medium">
        <color rgb="FF1D4E89"/>
      </left>
      <right/>
      <top style="medium">
        <color rgb="FF1D4E89"/>
      </top>
      <bottom style="medium">
        <color rgb="FF1D4E89"/>
      </bottom>
      <diagonal/>
    </border>
    <border>
      <left/>
      <right/>
      <top style="medium">
        <color rgb="FF1D4E89"/>
      </top>
      <bottom style="medium">
        <color rgb="FF1D4E89"/>
      </bottom>
      <diagonal/>
    </border>
    <border>
      <left/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/>
      <diagonal/>
    </border>
    <border>
      <left style="medium">
        <color rgb="FF1D4E89"/>
      </left>
      <right style="medium">
        <color indexed="64"/>
      </right>
      <top style="medium">
        <color rgb="FF1D4E89"/>
      </top>
      <bottom style="medium">
        <color indexed="64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medium">
        <color rgb="FF1D4E89"/>
      </left>
      <right/>
      <top style="medium">
        <color indexed="64"/>
      </top>
      <bottom style="medium">
        <color rgb="FF1D4E89"/>
      </bottom>
      <diagonal/>
    </border>
    <border>
      <left style="medium">
        <color rgb="FFB48900"/>
      </left>
      <right style="medium">
        <color rgb="FFD6A419"/>
      </right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thin">
        <color rgb="FFAAB4C0"/>
      </top>
      <bottom/>
      <diagonal/>
    </border>
    <border>
      <left/>
      <right/>
      <top/>
      <bottom style="thin">
        <color rgb="FFAAB4C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rgb="FFB48900"/>
      </left>
      <right/>
      <top style="medium">
        <color rgb="FFB48900"/>
      </top>
      <bottom style="medium">
        <color rgb="FFB489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D4E89"/>
      </left>
      <right style="medium">
        <color rgb="FF000000"/>
      </right>
      <top style="medium">
        <color rgb="FF1D4E89"/>
      </top>
      <bottom style="medium">
        <color rgb="FF000000"/>
      </bottom>
      <diagonal/>
    </border>
    <border>
      <left style="medium">
        <color rgb="FF1D4E89"/>
      </left>
      <right/>
      <top style="medium">
        <color rgb="FF000000"/>
      </top>
      <bottom style="medium">
        <color rgb="FF1D4E89"/>
      </bottom>
      <diagonal/>
    </border>
  </borders>
  <cellStyleXfs count="3">
    <xf numFmtId="0" fontId="0" fillId="0" borderId="0"/>
    <xf numFmtId="0" fontId="9" fillId="9" borderId="0" applyNumberFormat="0" applyBorder="0" applyAlignment="0" applyProtection="0"/>
    <xf numFmtId="0" fontId="11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 applyAlignment="1">
      <alignment horizontal="center"/>
    </xf>
    <xf numFmtId="0" fontId="8" fillId="8" borderId="4" xfId="0" applyFont="1" applyFill="1" applyBorder="1"/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9" fillId="9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10" borderId="5" xfId="0" applyFont="1" applyFill="1" applyBorder="1" applyAlignment="1">
      <alignment horizontal="left" vertical="center"/>
    </xf>
    <xf numFmtId="0" fontId="0" fillId="11" borderId="24" xfId="0" applyFill="1" applyBorder="1"/>
    <xf numFmtId="0" fontId="0" fillId="11" borderId="22" xfId="0" applyFill="1" applyBorder="1"/>
    <xf numFmtId="0" fontId="0" fillId="11" borderId="25" xfId="0" applyFill="1" applyBorder="1"/>
    <xf numFmtId="0" fontId="0" fillId="11" borderId="23" xfId="0" applyFill="1" applyBorder="1"/>
    <xf numFmtId="0" fontId="0" fillId="12" borderId="24" xfId="0" applyFill="1" applyBorder="1"/>
    <xf numFmtId="0" fontId="0" fillId="12" borderId="22" xfId="0" applyFill="1" applyBorder="1"/>
    <xf numFmtId="0" fontId="0" fillId="12" borderId="25" xfId="0" applyFill="1" applyBorder="1"/>
    <xf numFmtId="0" fontId="0" fillId="12" borderId="23" xfId="0" applyFill="1" applyBorder="1"/>
    <xf numFmtId="0" fontId="3" fillId="13" borderId="5" xfId="0" applyFont="1" applyFill="1" applyBorder="1" applyAlignment="1">
      <alignment horizontal="left" vertical="center"/>
    </xf>
    <xf numFmtId="0" fontId="11" fillId="0" borderId="0" xfId="2"/>
    <xf numFmtId="0" fontId="2" fillId="0" borderId="0" xfId="2" applyFont="1"/>
    <xf numFmtId="0" fontId="3" fillId="0" borderId="0" xfId="2" applyFont="1" applyAlignment="1">
      <alignment vertical="center"/>
    </xf>
    <xf numFmtId="0" fontId="5" fillId="16" borderId="27" xfId="2" applyFont="1" applyFill="1" applyBorder="1" applyAlignment="1">
      <alignment horizontal="center" vertical="center"/>
    </xf>
    <xf numFmtId="0" fontId="10" fillId="17" borderId="28" xfId="2" applyFont="1" applyFill="1" applyBorder="1"/>
    <xf numFmtId="0" fontId="10" fillId="17" borderId="27" xfId="2" applyFont="1" applyFill="1" applyBorder="1"/>
    <xf numFmtId="0" fontId="10" fillId="17" borderId="29" xfId="2" applyFont="1" applyFill="1" applyBorder="1"/>
    <xf numFmtId="0" fontId="10" fillId="17" borderId="30" xfId="2" applyFont="1" applyFill="1" applyBorder="1"/>
    <xf numFmtId="0" fontId="10" fillId="0" borderId="28" xfId="2" applyFont="1" applyBorder="1"/>
    <xf numFmtId="0" fontId="10" fillId="0" borderId="27" xfId="2" applyFont="1" applyBorder="1"/>
    <xf numFmtId="0" fontId="10" fillId="0" borderId="29" xfId="2" applyFont="1" applyBorder="1"/>
    <xf numFmtId="0" fontId="10" fillId="0" borderId="30" xfId="2" applyFont="1" applyBorder="1"/>
    <xf numFmtId="0" fontId="4" fillId="18" borderId="27" xfId="2" applyFont="1" applyFill="1" applyBorder="1" applyAlignment="1">
      <alignment horizontal="center" vertical="center"/>
    </xf>
    <xf numFmtId="0" fontId="3" fillId="19" borderId="5" xfId="2" applyFont="1" applyFill="1" applyBorder="1" applyAlignment="1">
      <alignment horizontal="left" vertical="center"/>
    </xf>
    <xf numFmtId="0" fontId="3" fillId="15" borderId="8" xfId="2" applyFont="1" applyFill="1" applyBorder="1" applyAlignment="1">
      <alignment horizontal="center" vertical="center" wrapText="1"/>
    </xf>
    <xf numFmtId="0" fontId="3" fillId="20" borderId="5" xfId="2" applyFont="1" applyFill="1" applyBorder="1" applyAlignment="1">
      <alignment horizontal="left" vertical="center"/>
    </xf>
    <xf numFmtId="0" fontId="3" fillId="20" borderId="1" xfId="2" applyFont="1" applyFill="1" applyBorder="1" applyAlignment="1">
      <alignment horizontal="left" vertical="center"/>
    </xf>
    <xf numFmtId="0" fontId="3" fillId="20" borderId="6" xfId="2" applyFont="1" applyFill="1" applyBorder="1" applyAlignment="1">
      <alignment horizontal="left" vertical="center"/>
    </xf>
    <xf numFmtId="0" fontId="3" fillId="20" borderId="31" xfId="2" applyFont="1" applyFill="1" applyBorder="1" applyAlignment="1">
      <alignment horizontal="left" vertical="center"/>
    </xf>
    <xf numFmtId="0" fontId="3" fillId="20" borderId="32" xfId="2" applyFont="1" applyFill="1" applyBorder="1" applyAlignment="1">
      <alignment horizontal="left" vertical="center"/>
    </xf>
    <xf numFmtId="0" fontId="4" fillId="18" borderId="17" xfId="2" applyFont="1" applyFill="1" applyBorder="1" applyAlignment="1">
      <alignment horizontal="center" vertical="center"/>
    </xf>
    <xf numFmtId="0" fontId="12" fillId="0" borderId="18" xfId="2" applyFont="1" applyBorder="1"/>
    <xf numFmtId="0" fontId="3" fillId="15" borderId="9" xfId="2" applyFont="1" applyFill="1" applyBorder="1" applyAlignment="1">
      <alignment horizontal="center" vertical="center" wrapText="1"/>
    </xf>
    <xf numFmtId="0" fontId="12" fillId="0" borderId="10" xfId="2" applyFont="1" applyBorder="1"/>
    <xf numFmtId="0" fontId="12" fillId="0" borderId="11" xfId="2" applyFont="1" applyBorder="1"/>
    <xf numFmtId="0" fontId="1" fillId="14" borderId="0" xfId="2" applyFont="1" applyFill="1" applyAlignment="1">
      <alignment horizontal="center" vertical="center"/>
    </xf>
    <xf numFmtId="0" fontId="12" fillId="0" borderId="0" xfId="2" applyFont="1"/>
    <xf numFmtId="0" fontId="3" fillId="15" borderId="26" xfId="2" applyFont="1" applyFill="1" applyBorder="1" applyAlignment="1">
      <alignment horizontal="center" vertical="center"/>
    </xf>
    <xf numFmtId="0" fontId="12" fillId="0" borderId="14" xfId="2" applyFont="1" applyBorder="1"/>
    <xf numFmtId="0" fontId="12" fillId="0" borderId="15" xfId="2" applyFont="1" applyBorder="1"/>
    <xf numFmtId="0" fontId="4" fillId="18" borderId="28" xfId="2" applyFont="1" applyFill="1" applyBorder="1" applyAlignment="1">
      <alignment horizontal="center" vertical="center"/>
    </xf>
    <xf numFmtId="0" fontId="12" fillId="0" borderId="30" xfId="2" applyFont="1" applyBorder="1"/>
    <xf numFmtId="0" fontId="4" fillId="18" borderId="0" xfId="2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3">
    <cellStyle name="Neutral" xfId="1" builtinId="28"/>
    <cellStyle name="Normal" xfId="0" builtinId="0"/>
    <cellStyle name="Normal 2" xfId="2" xr:uid="{63F9555F-AADF-4837-B6A9-F58E4B2F5BE6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eelprosllc-my.sharepoint.com/personal/kingsleyd_wheelpros_com/Documents/World_Cup_2026_Pickem_Bracket.xlsx" TargetMode="External"/><Relationship Id="rId1" Type="http://schemas.openxmlformats.org/officeDocument/2006/relationships/externalLinkPath" Target="https://wheelprosllc-my.sharepoint.com/personal/kingsleyd_wheelpros_com/Documents/World_Cup_2026_Pickem_Brack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eelprosllc-my.sharepoint.com/personal/alexp_wheelpros_com/Documents/Desktop/World%20Cup/Submissions/Elliot%20WC%20Bracket.xlsx" TargetMode="External"/><Relationship Id="rId1" Type="http://schemas.openxmlformats.org/officeDocument/2006/relationships/externalLinkPath" Target="https://wheelprosllc-my.sharepoint.com/personal/alexp_wheelpros_com/Documents/Desktop/World%20Cup/Submissions/Elliot%20WC%20Brack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eelprosllc-my.sharepoint.com/personal/alexp_wheelpros_com/Documents/Desktop/World%20Cup/Submissions/World_Cup_2026_Pickem_Bracket_JoeyH.xlsx" TargetMode="External"/><Relationship Id="rId1" Type="http://schemas.openxmlformats.org/officeDocument/2006/relationships/externalLinkPath" Target="https://wheelprosllc-my.sharepoint.com/personal/alexp_wheelpros_com/Documents/Desktop/World%20Cup/Submissions/World_Cup_2026_Pickem_Bracket_Joey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cket"/>
      <sheetName val="Results"/>
      <sheetName val="Teams"/>
    </sheetNames>
    <sheetDataSet>
      <sheetData sheetId="0"/>
      <sheetData sheetId="1">
        <row r="2">
          <cell r="E2" t="str">
            <v>Germany</v>
          </cell>
          <cell r="F2">
            <v>6</v>
          </cell>
          <cell r="G2">
            <v>0</v>
          </cell>
        </row>
        <row r="3">
          <cell r="E3" t="str">
            <v>France</v>
          </cell>
          <cell r="F3">
            <v>6</v>
          </cell>
          <cell r="G3">
            <v>0</v>
          </cell>
        </row>
        <row r="4">
          <cell r="E4" t="str">
            <v>South Africa</v>
          </cell>
          <cell r="F4">
            <v>6</v>
          </cell>
          <cell r="G4">
            <v>0</v>
          </cell>
        </row>
        <row r="5">
          <cell r="C5" t="str">
            <v>Netherlands</v>
          </cell>
          <cell r="E5" t="str">
            <v>Morocco</v>
          </cell>
          <cell r="F5">
            <v>6</v>
          </cell>
          <cell r="G5">
            <v>0</v>
          </cell>
        </row>
        <row r="6">
          <cell r="E6" t="str">
            <v>Ghana</v>
          </cell>
          <cell r="F6">
            <v>6</v>
          </cell>
          <cell r="G6">
            <v>0</v>
          </cell>
        </row>
        <row r="7">
          <cell r="E7" t="str">
            <v>Uruguay</v>
          </cell>
          <cell r="F7">
            <v>6</v>
          </cell>
          <cell r="G7">
            <v>0</v>
          </cell>
        </row>
        <row r="8">
          <cell r="D8" t="str">
            <v>Bosnia and Herzegovina</v>
          </cell>
          <cell r="E8" t="str">
            <v>United States</v>
          </cell>
          <cell r="F8">
            <v>6</v>
          </cell>
          <cell r="G8">
            <v>0</v>
          </cell>
        </row>
        <row r="9">
          <cell r="E9" t="str">
            <v>Czechia</v>
          </cell>
          <cell r="F9">
            <v>6</v>
          </cell>
          <cell r="G9">
            <v>0</v>
          </cell>
        </row>
        <row r="10">
          <cell r="D10" t="str">
            <v>Japan</v>
          </cell>
          <cell r="E10" t="str">
            <v>Brazil</v>
          </cell>
          <cell r="F10">
            <v>6</v>
          </cell>
          <cell r="G10">
            <v>0</v>
          </cell>
        </row>
        <row r="11">
          <cell r="E11" t="str">
            <v>Senegal</v>
          </cell>
          <cell r="F11">
            <v>6</v>
          </cell>
          <cell r="G11">
            <v>0</v>
          </cell>
        </row>
        <row r="12">
          <cell r="E12" t="str">
            <v>Mexico</v>
          </cell>
          <cell r="F12">
            <v>6</v>
          </cell>
          <cell r="G12">
            <v>0</v>
          </cell>
        </row>
        <row r="13">
          <cell r="E13" t="str">
            <v>Croatia</v>
          </cell>
          <cell r="F13">
            <v>6</v>
          </cell>
          <cell r="G13">
            <v>0</v>
          </cell>
        </row>
        <row r="14">
          <cell r="E14" t="str">
            <v>Cape Verde</v>
          </cell>
          <cell r="F14">
            <v>6</v>
          </cell>
          <cell r="G14">
            <v>0</v>
          </cell>
        </row>
        <row r="15">
          <cell r="C15" t="str">
            <v>Australia</v>
          </cell>
          <cell r="E15" t="str">
            <v>Australia</v>
          </cell>
          <cell r="F15">
            <v>6</v>
          </cell>
          <cell r="G15">
            <v>0</v>
          </cell>
        </row>
        <row r="16">
          <cell r="E16" t="str">
            <v>Switzerland</v>
          </cell>
          <cell r="F16">
            <v>6</v>
          </cell>
          <cell r="G16">
            <v>0</v>
          </cell>
        </row>
        <row r="17">
          <cell r="E17" t="str">
            <v>Columbia</v>
          </cell>
          <cell r="F17">
            <v>6</v>
          </cell>
          <cell r="G17">
            <v>0</v>
          </cell>
        </row>
        <row r="18">
          <cell r="E18" t="str">
            <v>Germany</v>
          </cell>
          <cell r="F18">
            <v>6</v>
          </cell>
          <cell r="G18">
            <v>0</v>
          </cell>
        </row>
        <row r="19">
          <cell r="E19" t="str">
            <v>South Africa</v>
          </cell>
          <cell r="F19">
            <v>6</v>
          </cell>
          <cell r="G19">
            <v>0</v>
          </cell>
        </row>
        <row r="20">
          <cell r="E20" t="str">
            <v>Ghana</v>
          </cell>
          <cell r="F20">
            <v>6</v>
          </cell>
          <cell r="G20">
            <v>0</v>
          </cell>
        </row>
        <row r="21">
          <cell r="E21" t="str">
            <v>United States</v>
          </cell>
          <cell r="F21">
            <v>6</v>
          </cell>
          <cell r="G21">
            <v>0</v>
          </cell>
        </row>
        <row r="22">
          <cell r="E22" t="str">
            <v>Brazil</v>
          </cell>
          <cell r="F22">
            <v>6</v>
          </cell>
          <cell r="G22">
            <v>0</v>
          </cell>
        </row>
        <row r="23">
          <cell r="E23" t="str">
            <v>Mexico</v>
          </cell>
          <cell r="F23">
            <v>6</v>
          </cell>
          <cell r="G23">
            <v>0</v>
          </cell>
        </row>
        <row r="24">
          <cell r="E24" t="str">
            <v>Cape Verde</v>
          </cell>
          <cell r="F24">
            <v>6</v>
          </cell>
          <cell r="G24">
            <v>0</v>
          </cell>
        </row>
        <row r="25">
          <cell r="E25" t="str">
            <v>Switzerland</v>
          </cell>
          <cell r="F25">
            <v>6</v>
          </cell>
          <cell r="G25">
            <v>0</v>
          </cell>
        </row>
        <row r="26">
          <cell r="E26" t="str">
            <v>Germany</v>
          </cell>
          <cell r="F26">
            <v>6</v>
          </cell>
          <cell r="G26">
            <v>0</v>
          </cell>
        </row>
        <row r="27">
          <cell r="E27" t="str">
            <v>Ghana</v>
          </cell>
          <cell r="F27">
            <v>6</v>
          </cell>
          <cell r="G27">
            <v>0</v>
          </cell>
        </row>
        <row r="28">
          <cell r="E28" t="str">
            <v>Brazil</v>
          </cell>
          <cell r="F28">
            <v>6</v>
          </cell>
          <cell r="G28">
            <v>0</v>
          </cell>
        </row>
        <row r="29">
          <cell r="E29" t="str">
            <v>Cape Verde</v>
          </cell>
          <cell r="F29">
            <v>6</v>
          </cell>
          <cell r="G29">
            <v>0</v>
          </cell>
        </row>
        <row r="30">
          <cell r="E30" t="str">
            <v>Germany</v>
          </cell>
          <cell r="F30">
            <v>6</v>
          </cell>
          <cell r="G30">
            <v>0</v>
          </cell>
        </row>
        <row r="31">
          <cell r="E31" t="str">
            <v>Brazil</v>
          </cell>
          <cell r="F31">
            <v>6</v>
          </cell>
          <cell r="G31">
            <v>0</v>
          </cell>
        </row>
        <row r="32">
          <cell r="E32" t="str">
            <v>Germany</v>
          </cell>
          <cell r="F32">
            <v>6</v>
          </cell>
          <cell r="G32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cket"/>
      <sheetName val="Results"/>
      <sheetName val="Teams"/>
      <sheetName val="Research Notes"/>
      <sheetName val="Top 32 Projection"/>
    </sheetNames>
    <sheetDataSet>
      <sheetData sheetId="0" refreshError="1"/>
      <sheetData sheetId="1">
        <row r="2">
          <cell r="E2" t="str">
            <v>Germany</v>
          </cell>
          <cell r="F2">
            <v>6</v>
          </cell>
          <cell r="G2">
            <v>0</v>
          </cell>
        </row>
        <row r="3">
          <cell r="E3" t="str">
            <v>France</v>
          </cell>
          <cell r="F3">
            <v>6</v>
          </cell>
          <cell r="G3">
            <v>0</v>
          </cell>
        </row>
        <row r="4">
          <cell r="E4" t="str">
            <v>South Africa</v>
          </cell>
          <cell r="F4">
            <v>6</v>
          </cell>
          <cell r="G4">
            <v>0</v>
          </cell>
        </row>
        <row r="5">
          <cell r="E5" t="str">
            <v>Morocco</v>
          </cell>
          <cell r="F5">
            <v>6</v>
          </cell>
          <cell r="G5">
            <v>0</v>
          </cell>
        </row>
        <row r="6">
          <cell r="E6" t="str">
            <v>Ghana</v>
          </cell>
          <cell r="F6">
            <v>6</v>
          </cell>
          <cell r="G6">
            <v>0</v>
          </cell>
        </row>
        <row r="7">
          <cell r="E7" t="str">
            <v>Uruguay</v>
          </cell>
          <cell r="F7">
            <v>6</v>
          </cell>
          <cell r="G7">
            <v>0</v>
          </cell>
        </row>
        <row r="8">
          <cell r="E8" t="str">
            <v>United States</v>
          </cell>
          <cell r="F8">
            <v>6</v>
          </cell>
          <cell r="G8">
            <v>0</v>
          </cell>
        </row>
        <row r="9">
          <cell r="E9" t="str">
            <v>Czechia</v>
          </cell>
          <cell r="F9">
            <v>6</v>
          </cell>
          <cell r="G9">
            <v>0</v>
          </cell>
        </row>
        <row r="10">
          <cell r="E10" t="str">
            <v>Brazil</v>
          </cell>
          <cell r="F10">
            <v>6</v>
          </cell>
          <cell r="G10">
            <v>0</v>
          </cell>
        </row>
        <row r="11">
          <cell r="E11" t="str">
            <v>Senegal</v>
          </cell>
          <cell r="F11">
            <v>6</v>
          </cell>
          <cell r="G11">
            <v>0</v>
          </cell>
        </row>
        <row r="12">
          <cell r="E12" t="str">
            <v>Mexico</v>
          </cell>
          <cell r="F12">
            <v>6</v>
          </cell>
          <cell r="G12">
            <v>0</v>
          </cell>
        </row>
        <row r="13">
          <cell r="E13" t="str">
            <v>Croatia</v>
          </cell>
          <cell r="F13">
            <v>6</v>
          </cell>
          <cell r="G13">
            <v>0</v>
          </cell>
        </row>
        <row r="14">
          <cell r="E14" t="str">
            <v>Cape Verde</v>
          </cell>
          <cell r="F14">
            <v>6</v>
          </cell>
          <cell r="G14">
            <v>0</v>
          </cell>
        </row>
        <row r="15">
          <cell r="E15" t="str">
            <v>Australia</v>
          </cell>
          <cell r="F15">
            <v>6</v>
          </cell>
          <cell r="G15">
            <v>0</v>
          </cell>
        </row>
        <row r="16">
          <cell r="E16" t="str">
            <v>Switzerland</v>
          </cell>
          <cell r="F16">
            <v>6</v>
          </cell>
          <cell r="G16">
            <v>0</v>
          </cell>
        </row>
        <row r="17">
          <cell r="E17" t="str">
            <v>Columbia</v>
          </cell>
          <cell r="F17">
            <v>6</v>
          </cell>
          <cell r="G17">
            <v>0</v>
          </cell>
        </row>
        <row r="18">
          <cell r="E18" t="str">
            <v>Germany</v>
          </cell>
          <cell r="F18">
            <v>6</v>
          </cell>
          <cell r="G18">
            <v>0</v>
          </cell>
        </row>
        <row r="19">
          <cell r="E19" t="str">
            <v>South Africa</v>
          </cell>
          <cell r="F19">
            <v>6</v>
          </cell>
          <cell r="G19">
            <v>0</v>
          </cell>
        </row>
        <row r="20">
          <cell r="E20" t="str">
            <v>Ghana</v>
          </cell>
          <cell r="F20">
            <v>6</v>
          </cell>
          <cell r="G20">
            <v>0</v>
          </cell>
        </row>
        <row r="21">
          <cell r="E21" t="str">
            <v>United States</v>
          </cell>
          <cell r="F21">
            <v>6</v>
          </cell>
          <cell r="G21">
            <v>0</v>
          </cell>
        </row>
        <row r="22">
          <cell r="E22" t="str">
            <v>Brazil</v>
          </cell>
          <cell r="F22">
            <v>6</v>
          </cell>
          <cell r="G22">
            <v>0</v>
          </cell>
        </row>
        <row r="23">
          <cell r="E23" t="str">
            <v>Mexico</v>
          </cell>
          <cell r="F23">
            <v>6</v>
          </cell>
          <cell r="G23">
            <v>0</v>
          </cell>
        </row>
        <row r="24">
          <cell r="E24" t="str">
            <v>Cape Verde</v>
          </cell>
          <cell r="F24">
            <v>6</v>
          </cell>
          <cell r="G24">
            <v>0</v>
          </cell>
        </row>
        <row r="25">
          <cell r="E25" t="str">
            <v>Switzerland</v>
          </cell>
          <cell r="F25">
            <v>6</v>
          </cell>
          <cell r="G25">
            <v>0</v>
          </cell>
        </row>
        <row r="26">
          <cell r="E26" t="str">
            <v>Germany</v>
          </cell>
          <cell r="F26">
            <v>6</v>
          </cell>
          <cell r="G26">
            <v>0</v>
          </cell>
        </row>
        <row r="27">
          <cell r="E27" t="str">
            <v>Ghana</v>
          </cell>
          <cell r="F27">
            <v>6</v>
          </cell>
          <cell r="G27">
            <v>0</v>
          </cell>
        </row>
        <row r="28">
          <cell r="E28" t="str">
            <v>Brazil</v>
          </cell>
          <cell r="F28">
            <v>6</v>
          </cell>
          <cell r="G28">
            <v>0</v>
          </cell>
        </row>
        <row r="29">
          <cell r="E29" t="str">
            <v>Cape Verde</v>
          </cell>
          <cell r="F29">
            <v>6</v>
          </cell>
          <cell r="G29">
            <v>0</v>
          </cell>
        </row>
        <row r="30">
          <cell r="E30" t="str">
            <v>Germany</v>
          </cell>
          <cell r="F30">
            <v>6</v>
          </cell>
          <cell r="G30">
            <v>0</v>
          </cell>
        </row>
        <row r="31">
          <cell r="E31" t="str">
            <v>Brazil</v>
          </cell>
          <cell r="F31">
            <v>6</v>
          </cell>
          <cell r="G31">
            <v>0</v>
          </cell>
        </row>
        <row r="32">
          <cell r="E32" t="str">
            <v>Germany</v>
          </cell>
          <cell r="F32">
            <v>6</v>
          </cell>
          <cell r="G32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cket"/>
      <sheetName val="Results"/>
      <sheetName val="Teams"/>
    </sheetNames>
    <sheetDataSet>
      <sheetData sheetId="0"/>
      <sheetData sheetId="1">
        <row r="2">
          <cell r="E2" t="str">
            <v>Germany</v>
          </cell>
          <cell r="F2">
            <v>6</v>
          </cell>
          <cell r="G2">
            <v>0</v>
          </cell>
        </row>
        <row r="3">
          <cell r="E3" t="str">
            <v>France</v>
          </cell>
          <cell r="F3">
            <v>6</v>
          </cell>
          <cell r="G3">
            <v>0</v>
          </cell>
        </row>
        <row r="4">
          <cell r="E4" t="str">
            <v>South Africa</v>
          </cell>
          <cell r="F4">
            <v>6</v>
          </cell>
          <cell r="G4">
            <v>0</v>
          </cell>
        </row>
        <row r="5">
          <cell r="C5" t="str">
            <v>Netherlands</v>
          </cell>
          <cell r="E5" t="str">
            <v>Morocco</v>
          </cell>
          <cell r="F5">
            <v>6</v>
          </cell>
          <cell r="G5">
            <v>0</v>
          </cell>
        </row>
        <row r="6">
          <cell r="E6" t="str">
            <v>Ghana</v>
          </cell>
          <cell r="F6">
            <v>6</v>
          </cell>
          <cell r="G6">
            <v>0</v>
          </cell>
        </row>
        <row r="7">
          <cell r="E7" t="str">
            <v>Uruguay</v>
          </cell>
          <cell r="F7">
            <v>6</v>
          </cell>
          <cell r="G7">
            <v>0</v>
          </cell>
        </row>
        <row r="8">
          <cell r="D8" t="str">
            <v>Bosnia and Herzegovina</v>
          </cell>
          <cell r="E8" t="str">
            <v>United States</v>
          </cell>
          <cell r="F8">
            <v>6</v>
          </cell>
          <cell r="G8">
            <v>0</v>
          </cell>
        </row>
        <row r="9">
          <cell r="E9" t="str">
            <v>Czechia</v>
          </cell>
          <cell r="F9">
            <v>6</v>
          </cell>
          <cell r="G9">
            <v>0</v>
          </cell>
        </row>
        <row r="10">
          <cell r="D10" t="str">
            <v>Japan</v>
          </cell>
          <cell r="E10" t="str">
            <v>Brazil</v>
          </cell>
          <cell r="F10">
            <v>6</v>
          </cell>
          <cell r="G10">
            <v>0</v>
          </cell>
        </row>
        <row r="11">
          <cell r="E11" t="str">
            <v>Senegal</v>
          </cell>
          <cell r="F11">
            <v>6</v>
          </cell>
          <cell r="G11">
            <v>0</v>
          </cell>
        </row>
        <row r="12">
          <cell r="E12" t="str">
            <v>Mexico</v>
          </cell>
          <cell r="F12">
            <v>6</v>
          </cell>
          <cell r="G12">
            <v>0</v>
          </cell>
        </row>
        <row r="13">
          <cell r="E13" t="str">
            <v>Croatia</v>
          </cell>
          <cell r="F13">
            <v>6</v>
          </cell>
          <cell r="G13">
            <v>0</v>
          </cell>
        </row>
        <row r="14">
          <cell r="E14" t="str">
            <v>Cape Verde</v>
          </cell>
          <cell r="F14">
            <v>6</v>
          </cell>
          <cell r="G14">
            <v>0</v>
          </cell>
        </row>
        <row r="15">
          <cell r="C15" t="str">
            <v>Australia</v>
          </cell>
          <cell r="E15" t="str">
            <v>Australia</v>
          </cell>
          <cell r="F15">
            <v>6</v>
          </cell>
          <cell r="G15">
            <v>0</v>
          </cell>
        </row>
        <row r="16">
          <cell r="E16" t="str">
            <v>Switzerland</v>
          </cell>
          <cell r="F16">
            <v>6</v>
          </cell>
          <cell r="G16">
            <v>0</v>
          </cell>
        </row>
        <row r="17">
          <cell r="E17" t="str">
            <v>Columbia</v>
          </cell>
          <cell r="F17">
            <v>6</v>
          </cell>
          <cell r="G17">
            <v>0</v>
          </cell>
        </row>
        <row r="18">
          <cell r="E18" t="str">
            <v>Germany</v>
          </cell>
          <cell r="F18">
            <v>6</v>
          </cell>
          <cell r="G18">
            <v>0</v>
          </cell>
        </row>
        <row r="19">
          <cell r="E19" t="str">
            <v>South Africa</v>
          </cell>
          <cell r="F19">
            <v>6</v>
          </cell>
          <cell r="G19">
            <v>0</v>
          </cell>
        </row>
        <row r="20">
          <cell r="E20" t="str">
            <v>Ghana</v>
          </cell>
          <cell r="F20">
            <v>6</v>
          </cell>
          <cell r="G20">
            <v>0</v>
          </cell>
        </row>
        <row r="21">
          <cell r="E21" t="str">
            <v>United States</v>
          </cell>
          <cell r="F21">
            <v>6</v>
          </cell>
          <cell r="G21">
            <v>0</v>
          </cell>
        </row>
        <row r="22">
          <cell r="E22" t="str">
            <v>Brazil</v>
          </cell>
          <cell r="F22">
            <v>6</v>
          </cell>
          <cell r="G22">
            <v>0</v>
          </cell>
        </row>
        <row r="23">
          <cell r="E23" t="str">
            <v>Mexico</v>
          </cell>
          <cell r="F23">
            <v>6</v>
          </cell>
          <cell r="G23">
            <v>0</v>
          </cell>
        </row>
        <row r="24">
          <cell r="E24" t="str">
            <v>Cape Verde</v>
          </cell>
          <cell r="F24">
            <v>6</v>
          </cell>
          <cell r="G24">
            <v>0</v>
          </cell>
        </row>
        <row r="25">
          <cell r="E25" t="str">
            <v>Switzerland</v>
          </cell>
          <cell r="F25">
            <v>6</v>
          </cell>
          <cell r="G25">
            <v>0</v>
          </cell>
        </row>
        <row r="26">
          <cell r="E26" t="str">
            <v>Germany</v>
          </cell>
          <cell r="F26">
            <v>6</v>
          </cell>
          <cell r="G26">
            <v>0</v>
          </cell>
        </row>
        <row r="27">
          <cell r="E27" t="str">
            <v>Ghana</v>
          </cell>
          <cell r="F27">
            <v>6</v>
          </cell>
          <cell r="G27">
            <v>0</v>
          </cell>
        </row>
        <row r="28">
          <cell r="E28" t="str">
            <v>Brazil</v>
          </cell>
          <cell r="F28">
            <v>6</v>
          </cell>
          <cell r="G28">
            <v>0</v>
          </cell>
        </row>
        <row r="29">
          <cell r="E29" t="str">
            <v>Cape Verde</v>
          </cell>
          <cell r="F29">
            <v>6</v>
          </cell>
          <cell r="G29">
            <v>0</v>
          </cell>
        </row>
        <row r="30">
          <cell r="E30" t="str">
            <v>Germany</v>
          </cell>
          <cell r="F30">
            <v>6</v>
          </cell>
          <cell r="G30">
            <v>0</v>
          </cell>
        </row>
        <row r="31">
          <cell r="E31" t="str">
            <v>Brazil</v>
          </cell>
          <cell r="F31">
            <v>6</v>
          </cell>
          <cell r="G31">
            <v>0</v>
          </cell>
        </row>
        <row r="32">
          <cell r="E32" t="str">
            <v>Germany</v>
          </cell>
          <cell r="F32">
            <v>6</v>
          </cell>
          <cell r="G32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768D-673A-489A-9A98-7B4E23E3313F}">
  <dimension ref="A1:G47"/>
  <sheetViews>
    <sheetView showGridLines="0" workbookViewId="0">
      <selection activeCell="B10" sqref="B10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2.15" customHeight="1">
      <c r="A1" s="64" t="s">
        <v>0</v>
      </c>
      <c r="B1" s="64"/>
      <c r="C1" s="64"/>
      <c r="D1" s="64"/>
      <c r="E1" s="64"/>
      <c r="F1" s="64"/>
      <c r="G1" s="64"/>
    </row>
    <row r="2" spans="1:7" ht="22.15" customHeight="1" thickBot="1">
      <c r="A2" s="1" t="s">
        <v>1</v>
      </c>
    </row>
    <row r="3" spans="1:7" ht="22.15" customHeight="1" thickBot="1">
      <c r="A3" s="2" t="s">
        <v>219</v>
      </c>
      <c r="B3" s="65" t="s">
        <v>230</v>
      </c>
      <c r="C3" s="66"/>
      <c r="D3" s="67"/>
      <c r="E3" s="2" t="s">
        <v>2</v>
      </c>
      <c r="F3" s="14">
        <f>SUM(B4:F4)</f>
        <v>3.8000000000000003</v>
      </c>
    </row>
    <row r="4" spans="1:7" ht="22.15" customHeight="1" thickBot="1">
      <c r="A4" s="2" t="s">
        <v>38</v>
      </c>
      <c r="B4" s="22">
        <f>IF(B5=SUM(Results!F2:F17),1,1-ABS((B5-SUM(Results!F2:F17))*0.1))+IF('Alex Pusch'!C9=Results!E2,Results!G2,0)+IF('Alex Pusch'!C11=Results!E3,Results!G3,0)+IF('Alex Pusch'!C13=Results!E4,Results!G4,0)+IF('Alex Pusch'!C15=Results!E5,Results!G5,0)+IF('Alex Pusch'!C17=Results!E6,Results!G6,0)+IF('Alex Pusch'!C19=Results!E7,Results!G7,0)+IF('Alex Pusch'!C21=Results!E8,Results!G8,0)+IF('Alex Pusch'!C23=Results!E9,Results!G9,0)+IF('Alex Pusch'!C25=Results!E10,Results!G10,0)+IF('Alex Pusch'!C27=Results!E11,Results!G11,0)+IF('Alex Pusch'!C29=Results!E12,Results!G12,0)+IF('Alex Pusch'!C31=Results!E13,Results!G13,0)+IF('Alex Pusch'!C33=Results!E14,Results!G14,0)+IF('Alex Pusch'!C35=Results!E15,Results!G15,0)+IF('Alex Pusch'!C37=Results!E16,Results!G16,0)+IF('Alex Pusch'!C39=Results!E17,Results!G17,0)</f>
        <v>1</v>
      </c>
      <c r="C4" s="23">
        <f>IF(C5=SUM(Results!F18:F25),1,1-ABS((C5-SUM(Results!F18:F25))*0.1))+IF('Alex Pusch'!D10=Results!E18,Results!G18,0)+IF('Alex Pusch'!D14=Results!E19,Results!G19,0)+IF('Alex Pusch'!D18=Results!E20,Results!G20,0)+IF('Alex Pusch'!D22=Results!E21,Results!G21,0)+IF('Alex Pusch'!D26=Results!E22,Results!G22,0)+IF('Alex Pusch'!D30=Results!E23,Results!G23,0)+IF('Alex Pusch'!D34=Results!E24,Results!G24,0)+IF('Alex Pusch'!D38=Results!E25,Results!G25,0)</f>
        <v>0.6</v>
      </c>
      <c r="D4" s="24">
        <f>IF(D5=SUM(Results!F26:F29),1,1-ABS((D5-SUM(Results!F26:F29))*0.1))+IF(E11=Results!E26,Results!G26,0)+IF('Alex Pusch'!E19=Results!E27,Results!G27,0)+IF('Alex Pusch'!E27=Results!E28,Results!G28,0)+IF('Alex Pusch'!E35=Results!E29,Results!G29,0)</f>
        <v>0.6</v>
      </c>
      <c r="E4" s="23">
        <f>IF(E5=SUM(Results!F30:F31),1,1-ABS((E5-SUM(Results!F30:F31))*0.1))+IF('Alex Pusch'!F14=Results!E30,Results!G30,0)+IF('Alex Pusch'!F30=Results!E31,Results!G31,0)</f>
        <v>0.6</v>
      </c>
      <c r="F4" s="25">
        <f>IF(F5=SUM(Results!F32),1,1-ABS((F5-SUM(Results!F32))*0.1))+IF(G19=Results!E32,Results!G32,0)</f>
        <v>1</v>
      </c>
    </row>
    <row r="5" spans="1:7" ht="22.15" customHeight="1" thickBot="1">
      <c r="A5" s="2" t="s">
        <v>228</v>
      </c>
      <c r="B5" s="19">
        <v>96</v>
      </c>
      <c r="C5" s="17">
        <v>44</v>
      </c>
      <c r="D5" s="20">
        <v>20</v>
      </c>
      <c r="E5" s="17">
        <v>8</v>
      </c>
      <c r="F5" s="18">
        <v>6</v>
      </c>
    </row>
    <row r="6" spans="1:7" ht="22.15" customHeight="1"/>
    <row r="7" spans="1:7" ht="22.15" customHeight="1" thickBot="1"/>
    <row r="8" spans="1:7" ht="22.15" customHeight="1" thickBot="1">
      <c r="A8" s="68" t="s">
        <v>3</v>
      </c>
      <c r="B8" s="69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15" customHeight="1" thickBot="1">
      <c r="A9" s="70" t="s">
        <v>6</v>
      </c>
      <c r="B9" s="21" t="s">
        <v>51</v>
      </c>
      <c r="C9" s="11" t="s">
        <v>51</v>
      </c>
    </row>
    <row r="10" spans="1:7" ht="22.15" customHeight="1" thickBot="1">
      <c r="A10" s="71"/>
      <c r="B10" s="4" t="s">
        <v>94</v>
      </c>
      <c r="D10" s="11" t="s">
        <v>51</v>
      </c>
    </row>
    <row r="11" spans="1:7" ht="22.15" customHeight="1" thickBot="1">
      <c r="A11" s="72" t="s">
        <v>8</v>
      </c>
      <c r="B11" s="12" t="s">
        <v>86</v>
      </c>
      <c r="C11" s="11" t="s">
        <v>86</v>
      </c>
      <c r="E11" s="73" t="s">
        <v>51</v>
      </c>
    </row>
    <row r="12" spans="1:7" ht="22.15" customHeight="1" thickBot="1">
      <c r="A12" s="71"/>
      <c r="B12" s="4" t="s">
        <v>120</v>
      </c>
      <c r="E12" s="74"/>
    </row>
    <row r="13" spans="1:7" ht="22.15" customHeight="1" thickBot="1">
      <c r="A13" s="72" t="s">
        <v>10</v>
      </c>
      <c r="B13" s="21" t="s">
        <v>44</v>
      </c>
      <c r="C13" s="11" t="s">
        <v>44</v>
      </c>
      <c r="E13" s="75"/>
    </row>
    <row r="14" spans="1:7" ht="22.15" customHeight="1" thickBot="1">
      <c r="A14" s="71"/>
      <c r="B14" s="21" t="s">
        <v>46</v>
      </c>
      <c r="D14" s="11" t="s">
        <v>85</v>
      </c>
      <c r="F14" s="73" t="s">
        <v>51</v>
      </c>
    </row>
    <row r="15" spans="1:7" ht="22.15" customHeight="1" thickBot="1">
      <c r="A15" s="72" t="s">
        <v>12</v>
      </c>
      <c r="B15" s="21" t="str">
        <f>Results!C5</f>
        <v>Netherlands</v>
      </c>
      <c r="C15" s="11" t="s">
        <v>85</v>
      </c>
      <c r="F15" s="74"/>
    </row>
    <row r="16" spans="1:7" ht="22.15" customHeight="1" thickBot="1">
      <c r="A16" s="71"/>
      <c r="B16" s="21" t="s">
        <v>49</v>
      </c>
      <c r="F16" s="74"/>
    </row>
    <row r="17" spans="1:7" ht="22.15" customHeight="1" thickBot="1">
      <c r="A17" s="72" t="s">
        <v>14</v>
      </c>
      <c r="B17" s="12" t="s">
        <v>136</v>
      </c>
      <c r="C17" s="11" t="s">
        <v>136</v>
      </c>
      <c r="F17" s="74"/>
    </row>
    <row r="18" spans="1:7" ht="22.15" customHeight="1" thickBot="1">
      <c r="A18" s="71"/>
      <c r="B18" s="4" t="s">
        <v>110</v>
      </c>
      <c r="D18" s="11" t="s">
        <v>92</v>
      </c>
      <c r="F18" s="75"/>
    </row>
    <row r="19" spans="1:7" ht="22.15" customHeight="1" thickBot="1">
      <c r="A19" s="72" t="s">
        <v>16</v>
      </c>
      <c r="B19" s="12" t="s">
        <v>92</v>
      </c>
      <c r="C19" s="11" t="s">
        <v>92</v>
      </c>
      <c r="E19" s="73" t="s">
        <v>92</v>
      </c>
      <c r="G19" s="73" t="s">
        <v>51</v>
      </c>
    </row>
    <row r="20" spans="1:7" ht="22.15" customHeight="1" thickBot="1">
      <c r="A20" s="71"/>
      <c r="B20" s="4" t="s">
        <v>127</v>
      </c>
      <c r="E20" s="74"/>
      <c r="G20" s="74"/>
    </row>
    <row r="21" spans="1:7" ht="22.15" customHeight="1" thickBot="1">
      <c r="A21" s="72" t="s">
        <v>18</v>
      </c>
      <c r="B21" s="21" t="s">
        <v>50</v>
      </c>
      <c r="C21" s="11" t="s">
        <v>50</v>
      </c>
      <c r="E21" s="75"/>
      <c r="G21" s="74"/>
    </row>
    <row r="22" spans="1:7" ht="22.15" customHeight="1" thickBot="1">
      <c r="A22" s="71"/>
      <c r="B22" s="21" t="str">
        <f>Results!D8</f>
        <v>Bosnia and Herzegovina</v>
      </c>
      <c r="D22" s="11" t="s">
        <v>50</v>
      </c>
      <c r="G22" s="74"/>
    </row>
    <row r="23" spans="1:7" ht="22.15" customHeight="1" thickBot="1">
      <c r="A23" s="72" t="s">
        <v>20</v>
      </c>
      <c r="B23" s="12" t="s">
        <v>111</v>
      </c>
      <c r="C23" s="11" t="s">
        <v>84</v>
      </c>
      <c r="G23" s="74"/>
    </row>
    <row r="24" spans="1:7" ht="22.15" customHeight="1" thickBot="1">
      <c r="A24" s="71"/>
      <c r="B24" s="4" t="s">
        <v>84</v>
      </c>
      <c r="G24" s="74"/>
    </row>
    <row r="25" spans="1:7" ht="22.15" customHeight="1" thickBot="1">
      <c r="A25" s="72" t="s">
        <v>22</v>
      </c>
      <c r="B25" s="21" t="s">
        <v>48</v>
      </c>
      <c r="C25" s="11" t="s">
        <v>48</v>
      </c>
      <c r="G25" s="74"/>
    </row>
    <row r="26" spans="1:7" ht="22.15" customHeight="1" thickBot="1">
      <c r="A26" s="71"/>
      <c r="B26" s="21" t="str">
        <f>Results!D10</f>
        <v>Japan</v>
      </c>
      <c r="D26" s="11" t="s">
        <v>48</v>
      </c>
      <c r="G26" s="74"/>
    </row>
    <row r="27" spans="1:7" ht="22.15" customHeight="1" thickBot="1">
      <c r="A27" s="72" t="s">
        <v>24</v>
      </c>
      <c r="B27" s="21" t="s">
        <v>88</v>
      </c>
      <c r="C27" s="11" t="s">
        <v>133</v>
      </c>
      <c r="E27" s="73" t="s">
        <v>89</v>
      </c>
      <c r="G27" s="74"/>
    </row>
    <row r="28" spans="1:7" ht="22.15" customHeight="1" thickBot="1">
      <c r="A28" s="71"/>
      <c r="B28" s="9" t="s">
        <v>133</v>
      </c>
      <c r="E28" s="74"/>
      <c r="G28" s="74"/>
    </row>
    <row r="29" spans="1:7" ht="22.15" customHeight="1" thickBot="1">
      <c r="A29" s="72" t="s">
        <v>26</v>
      </c>
      <c r="B29" s="21" t="s">
        <v>43</v>
      </c>
      <c r="C29" s="11" t="s">
        <v>43</v>
      </c>
      <c r="E29" s="75"/>
      <c r="G29" s="75"/>
    </row>
    <row r="30" spans="1:7" ht="22.15" customHeight="1" thickBot="1">
      <c r="A30" s="71"/>
      <c r="B30" s="10" t="s">
        <v>109</v>
      </c>
      <c r="D30" s="11" t="s">
        <v>89</v>
      </c>
      <c r="F30" s="73" t="s">
        <v>93</v>
      </c>
    </row>
    <row r="31" spans="1:7" ht="22.15" customHeight="1" thickBot="1">
      <c r="A31" s="72" t="s">
        <v>28</v>
      </c>
      <c r="B31" s="13" t="s">
        <v>89</v>
      </c>
      <c r="C31" s="11" t="s">
        <v>89</v>
      </c>
      <c r="F31" s="74"/>
    </row>
    <row r="32" spans="1:7" ht="22.15" customHeight="1" thickBot="1">
      <c r="A32" s="71"/>
      <c r="B32" s="10" t="s">
        <v>112</v>
      </c>
      <c r="F32" s="74"/>
    </row>
    <row r="33" spans="1:6" ht="22.15" customHeight="1" thickBot="1">
      <c r="A33" s="72" t="s">
        <v>30</v>
      </c>
      <c r="B33" s="21" t="s">
        <v>93</v>
      </c>
      <c r="C33" s="11" t="s">
        <v>93</v>
      </c>
      <c r="F33" s="74"/>
    </row>
    <row r="34" spans="1:6" ht="22.15" customHeight="1" thickBot="1">
      <c r="A34" s="71"/>
      <c r="B34" s="10" t="s">
        <v>113</v>
      </c>
      <c r="D34" s="11" t="s">
        <v>93</v>
      </c>
      <c r="F34" s="75"/>
    </row>
    <row r="35" spans="1:6" ht="22.15" customHeight="1" thickBot="1">
      <c r="A35" s="72" t="s">
        <v>32</v>
      </c>
      <c r="B35" s="21" t="str">
        <f>Results!C15</f>
        <v>Australia</v>
      </c>
      <c r="C35" s="11" t="s">
        <v>115</v>
      </c>
      <c r="E35" s="73" t="s">
        <v>93</v>
      </c>
    </row>
    <row r="36" spans="1:6" ht="22.15" customHeight="1" thickBot="1">
      <c r="A36" s="71"/>
      <c r="B36" s="10" t="s">
        <v>90</v>
      </c>
      <c r="E36" s="74"/>
    </row>
    <row r="37" spans="1:6" ht="22.15" customHeight="1" thickBot="1">
      <c r="A37" s="72" t="s">
        <v>34</v>
      </c>
      <c r="B37" s="21" t="s">
        <v>45</v>
      </c>
      <c r="C37" s="11" t="s">
        <v>45</v>
      </c>
      <c r="E37" s="75"/>
    </row>
    <row r="38" spans="1:6" ht="22.15" customHeight="1" thickBot="1">
      <c r="A38" s="71"/>
      <c r="B38" s="10" t="s">
        <v>114</v>
      </c>
      <c r="D38" s="11" t="s">
        <v>91</v>
      </c>
    </row>
    <row r="39" spans="1:6" ht="22.15" customHeight="1" thickBot="1">
      <c r="A39" s="72" t="s">
        <v>36</v>
      </c>
      <c r="B39" s="13" t="s">
        <v>91</v>
      </c>
      <c r="C39" s="11" t="s">
        <v>91</v>
      </c>
    </row>
    <row r="40" spans="1:6" ht="22.15" customHeight="1" thickBot="1">
      <c r="A40" s="71"/>
      <c r="B40" s="10" t="s">
        <v>123</v>
      </c>
    </row>
    <row r="41" spans="1:6" ht="22.15" customHeight="1"/>
    <row r="42" spans="1:6" ht="22.15" customHeight="1"/>
    <row r="43" spans="1:6" ht="22.15" customHeight="1"/>
    <row r="44" spans="1:6" ht="22.15" customHeight="1"/>
    <row r="45" spans="1:6" ht="22.15" customHeight="1"/>
    <row r="46" spans="1:6" ht="22.15" customHeight="1"/>
    <row r="47" spans="1:6" ht="22.15" customHeight="1"/>
  </sheetData>
  <mergeCells count="26">
    <mergeCell ref="A39:A40"/>
    <mergeCell ref="A19:A20"/>
    <mergeCell ref="E19:E21"/>
    <mergeCell ref="G19:G29"/>
    <mergeCell ref="A21:A22"/>
    <mergeCell ref="A23:A24"/>
    <mergeCell ref="A25:A26"/>
    <mergeCell ref="A27:A28"/>
    <mergeCell ref="E27:E29"/>
    <mergeCell ref="A29:A30"/>
    <mergeCell ref="F30:F34"/>
    <mergeCell ref="A31:A32"/>
    <mergeCell ref="A33:A34"/>
    <mergeCell ref="A35:A36"/>
    <mergeCell ref="E35:E37"/>
    <mergeCell ref="A37:A38"/>
    <mergeCell ref="A1:G1"/>
    <mergeCell ref="B3:D3"/>
    <mergeCell ref="A8:B8"/>
    <mergeCell ref="A9:A10"/>
    <mergeCell ref="A11:A12"/>
    <mergeCell ref="E11:E13"/>
    <mergeCell ref="A13:A14"/>
    <mergeCell ref="F14:F18"/>
    <mergeCell ref="A15:A16"/>
    <mergeCell ref="A17:A18"/>
  </mergeCells>
  <conditionalFormatting sqref="B9 B13:B16 B21:B22 B25:B27 B29 B33 B35 B37">
    <cfRule type="duplicateValues" dxfId="102" priority="42"/>
  </conditionalFormatting>
  <conditionalFormatting sqref="B9:B40">
    <cfRule type="duplicateValues" dxfId="101" priority="1"/>
  </conditionalFormatting>
  <conditionalFormatting sqref="B10">
    <cfRule type="duplicateValues" dxfId="100" priority="10"/>
  </conditionalFormatting>
  <conditionalFormatting sqref="B11:B12">
    <cfRule type="duplicateValues" dxfId="99" priority="9"/>
  </conditionalFormatting>
  <conditionalFormatting sqref="B17:B20">
    <cfRule type="duplicateValues" dxfId="98" priority="8"/>
  </conditionalFormatting>
  <conditionalFormatting sqref="B23:B24">
    <cfRule type="duplicateValues" dxfId="97" priority="7"/>
  </conditionalFormatting>
  <conditionalFormatting sqref="B28">
    <cfRule type="duplicateValues" dxfId="96" priority="6"/>
  </conditionalFormatting>
  <conditionalFormatting sqref="B30:B32">
    <cfRule type="duplicateValues" dxfId="95" priority="5"/>
  </conditionalFormatting>
  <conditionalFormatting sqref="B34">
    <cfRule type="duplicateValues" dxfId="94" priority="4"/>
  </conditionalFormatting>
  <conditionalFormatting sqref="B36">
    <cfRule type="duplicateValues" dxfId="93" priority="3"/>
  </conditionalFormatting>
  <conditionalFormatting sqref="B38:B40">
    <cfRule type="duplicateValues" dxfId="92" priority="2"/>
  </conditionalFormatting>
  <dataValidations count="31">
    <dataValidation type="list" sqref="C9" xr:uid="{0DD3F842-D587-48D8-80EB-E5C7DC807086}">
      <formula1>$B$9:$B$10</formula1>
    </dataValidation>
    <dataValidation type="list" sqref="C11" xr:uid="{FD1EC63A-02AA-467B-B89A-94A87DDC2B2A}">
      <formula1>$B$11:$B$12</formula1>
    </dataValidation>
    <dataValidation type="list" sqref="C13" xr:uid="{F91F15D1-DCBC-4B86-B40E-395ED813AEF6}">
      <formula1>$B$13:$B$14</formula1>
    </dataValidation>
    <dataValidation type="list" sqref="C15" xr:uid="{67018A1C-932E-4D62-8CAB-67B1D6048AA5}">
      <formula1>$B$15:$B$16</formula1>
    </dataValidation>
    <dataValidation type="list" sqref="C17" xr:uid="{FED8885D-3D25-48AA-9302-F5524B43909D}">
      <formula1>$B$17:$B$18</formula1>
    </dataValidation>
    <dataValidation type="list" sqref="C19" xr:uid="{A806E787-9B04-4E66-A6D0-5F14B2850D9B}">
      <formula1>$B$19:$B$20</formula1>
    </dataValidation>
    <dataValidation type="list" sqref="C21" xr:uid="{F3D7003B-D821-48BD-9365-3C256E7AE515}">
      <formula1>$B$21:$B$22</formula1>
    </dataValidation>
    <dataValidation type="list" sqref="C23" xr:uid="{59292EB6-C745-4852-8958-C8F1600EB9B3}">
      <formula1>$B$23:$B$24</formula1>
    </dataValidation>
    <dataValidation type="list" sqref="C25" xr:uid="{5B18F9DD-D595-4AF3-8DED-BC7F60A47DE3}">
      <formula1>$B$25:$B$26</formula1>
    </dataValidation>
    <dataValidation type="list" sqref="C27" xr:uid="{EBD7D9D3-E5D9-43EB-A07B-D5CB7F5F23F2}">
      <formula1>$B$27:$B$28</formula1>
    </dataValidation>
    <dataValidation type="list" sqref="C29" xr:uid="{BEA88E61-07CE-41C2-9F14-C530580B51DC}">
      <formula1>$B$29:$B$30</formula1>
    </dataValidation>
    <dataValidation type="list" sqref="C31" xr:uid="{089557FD-9DB7-4007-AD67-0C60853B19C5}">
      <formula1>$B$31:$B$32</formula1>
    </dataValidation>
    <dataValidation type="list" sqref="C33" xr:uid="{78455254-7E41-408A-A4D0-8D35F1278E69}">
      <formula1>$B$33:$B$34</formula1>
    </dataValidation>
    <dataValidation type="list" sqref="C35" xr:uid="{790FFD08-DE6A-4FC3-A0BC-63AA24B7C4CA}">
      <formula1>$B$35:$B$36</formula1>
    </dataValidation>
    <dataValidation type="list" sqref="C37" xr:uid="{817D3444-69D1-460D-9059-1EAB1EA6B288}">
      <formula1>$B$37:$B$38</formula1>
    </dataValidation>
    <dataValidation type="list" sqref="C39" xr:uid="{0C320B7C-A680-478F-AAF5-756990D25B17}">
      <formula1>$B$39:$B$40</formula1>
    </dataValidation>
    <dataValidation type="list" sqref="D10" xr:uid="{FF498954-696D-49C9-8C8F-538E3D45A747}">
      <formula1>$C$9:$C$11</formula1>
    </dataValidation>
    <dataValidation type="list" sqref="D14" xr:uid="{D7032196-1973-4A35-8DF6-008FCEBBB920}">
      <formula1>$C$13:$C$15</formula1>
    </dataValidation>
    <dataValidation type="list" sqref="D18" xr:uid="{4AE71DFE-FE54-4319-805A-5F3FC2071425}">
      <formula1>$C$17:$C$19</formula1>
    </dataValidation>
    <dataValidation type="list" sqref="D22" xr:uid="{B2F59A09-21A0-467E-9575-0AB38EFD7798}">
      <formula1>$C$21:$C$23</formula1>
    </dataValidation>
    <dataValidation type="list" sqref="D26" xr:uid="{787E9CCE-75EF-4AA4-9AFB-020F13348CEE}">
      <formula1>$C$25:$C$27</formula1>
    </dataValidation>
    <dataValidation type="list" sqref="D30" xr:uid="{64BF46D1-2B25-4DB2-BA4D-DAC9A34AB060}">
      <formula1>$C$29:$C$31</formula1>
    </dataValidation>
    <dataValidation type="list" sqref="D34" xr:uid="{B441BB47-F064-4FBB-A1BA-193D489EA716}">
      <formula1>$C$33:$C$35</formula1>
    </dataValidation>
    <dataValidation type="list" sqref="D38" xr:uid="{F6537410-4AAA-4052-AB21-417751605563}">
      <formula1>$C$37:$C$39</formula1>
    </dataValidation>
    <dataValidation type="list" sqref="E11" xr:uid="{091D1F2D-59AB-40EC-BD84-C4A6AD8F259F}">
      <formula1>$D$10:$D$14</formula1>
    </dataValidation>
    <dataValidation type="list" sqref="E19" xr:uid="{4323F143-93D3-4441-8371-3D700989CBAE}">
      <formula1>$D$18:$D$22</formula1>
    </dataValidation>
    <dataValidation type="list" sqref="E27" xr:uid="{0054DE54-CFCA-4E7E-BA22-F6CEC05B3293}">
      <formula1>$D$26:$D$30</formula1>
    </dataValidation>
    <dataValidation type="list" sqref="E35" xr:uid="{1B523BA3-0216-485E-8918-D0E4B7C3D472}">
      <formula1>$D$34:$D$38</formula1>
    </dataValidation>
    <dataValidation type="list" sqref="F14" xr:uid="{8EB78A2F-B936-4E90-B43F-9C540DBE6956}">
      <formula1>$E$11:$E$19</formula1>
    </dataValidation>
    <dataValidation type="list" sqref="F30" xr:uid="{E020D963-3531-4E68-82A2-769FF5515487}">
      <formula1>$E$27:$E$35</formula1>
    </dataValidation>
    <dataValidation type="list" sqref="G19" xr:uid="{20861A5A-B328-433E-BE68-AB37D3141A8D}">
      <formula1>$F$14:$F$30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1" operator="equal" id="{12E80392-69B3-4EE8-8034-EF929DEFBE12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40" operator="equal" id="{AE1869F5-FFD9-4DAE-949F-A9E010C38BA1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39" operator="equal" id="{DA91F132-1AFF-4434-A05B-0813A4D3E66E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8" operator="equal" id="{34CD21CF-1329-4D06-909F-9A7357E23597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7" operator="equal" id="{3890145B-D73A-43D9-8163-C640B0B957CD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6" operator="equal" id="{CACBCF06-751D-497A-A9CE-C8960A4CCBB7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5" operator="equal" id="{3732C349-7E88-4FB2-B4CC-8F313953454D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4" operator="equal" id="{CD3E3487-4FCD-4214-BAF7-9518A9166EBA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3" operator="equal" id="{48F53C3F-0269-46D5-A167-1E2278101E26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32" operator="equal" id="{354B5E00-AFDC-46F8-8EFC-4101F2D2C9BD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31" operator="equal" id="{8939AF56-AD6E-4E7C-84B9-7DB7F9869864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30" operator="equal" id="{E88A462B-65BA-4AFF-B47B-D37E8ADDA528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9" operator="equal" id="{99AD9803-A6B8-4F68-9F87-D977E85D2F2B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8" operator="equal" id="{FD5FAEEE-8392-498F-ACA5-87F3DD92E963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7" operator="equal" id="{6573F005-99C5-4A1E-BFB7-105AFDC31631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6" operator="equal" id="{9442CB78-FA40-44B7-8FF7-5E8F5A7BF95A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5" operator="equal" id="{4DF1C780-CE34-4BC2-8A5C-4D67ECD945F8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4" operator="equal" id="{C8687806-B294-4DEF-8AA0-5B7CB0DE9CAD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23" operator="equal" id="{3B859B13-E152-445D-A571-6E745670EDCD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22" operator="equal" id="{1D747C50-5D1A-4658-AA0A-5330B94156D2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21" operator="equal" id="{08A7841C-1152-4BDB-A0AD-509911C49033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20" operator="equal" id="{3BE900EE-D5E6-4BE6-939A-98A07A729744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9" operator="equal" id="{A362D174-213D-4665-A149-46B8859ED8DC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8" operator="equal" id="{638A3F4D-B9AE-41D7-890A-4B32DFD78CAB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7" operator="equal" id="{F65C754D-42C0-4429-B831-894815814546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6" operator="equal" id="{8674749B-B622-43DA-8C1F-0030BDE4A230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5" operator="equal" id="{A307A71F-5F7F-4457-9729-5839FB7C8FB5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4" operator="equal" id="{8B482E40-FEF5-4654-A96B-0ED3C212EB7E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13" operator="equal" id="{0B31647F-38D6-4A10-8F7A-8D7B36315A99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12" operator="equal" id="{17059C2A-66A9-4E4B-B110-67E41B885799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11" operator="equal" id="{7AB1F11A-2EE5-4D1A-8B03-F3377C45D8F0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xr:uid="{0B8628A2-F52F-4249-B838-EF186956874E}">
          <x14:formula1>
            <xm:f>Teams!$AV$2:$AV$19</xm:f>
          </x14:formula1>
          <xm:sqref>B40</xm:sqref>
        </x14:dataValidation>
        <x14:dataValidation type="list" xr:uid="{0E0DE35C-9918-48AE-8691-C1917B64D6F0}">
          <x14:formula1>
            <xm:f>Teams!$AU$2:$AU$5</xm:f>
          </x14:formula1>
          <xm:sqref>B39</xm:sqref>
        </x14:dataValidation>
        <x14:dataValidation type="list" xr:uid="{9CEC1021-8227-44B6-99D9-A612256F2E82}">
          <x14:formula1>
            <xm:f>Teams!$AR$2:$AR$20</xm:f>
          </x14:formula1>
          <xm:sqref>B38</xm:sqref>
        </x14:dataValidation>
        <x14:dataValidation type="list" xr:uid="{1066C33E-46C3-4338-86B0-2CFFAA797032}">
          <x14:formula1>
            <xm:f>Teams!$AX$2:$AX$5</xm:f>
          </x14:formula1>
          <xm:sqref>B36</xm:sqref>
        </x14:dataValidation>
        <x14:dataValidation type="list" xr:uid="{F4EAE361-1706-4473-97A9-AE7F98FF0081}">
          <x14:formula1>
            <xm:f>Teams!$AT$2:$AT$5</xm:f>
          </x14:formula1>
          <xm:sqref>B34</xm:sqref>
        </x14:dataValidation>
        <x14:dataValidation type="list" xr:uid="{47170C62-E43D-4745-A162-873ADD381D93}">
          <x14:formula1>
            <xm:f>Teams!$AJ$2:$AJ$20</xm:f>
          </x14:formula1>
          <xm:sqref>B32</xm:sqref>
        </x14:dataValidation>
        <x14:dataValidation type="list" xr:uid="{BD74D345-7E2D-4C7E-8706-7F458F86EE8D}">
          <x14:formula1>
            <xm:f>Teams!$AI$2:$AI$5</xm:f>
          </x14:formula1>
          <xm:sqref>B31</xm:sqref>
        </x14:dataValidation>
        <x14:dataValidation type="list" xr:uid="{06B4B372-7953-4D7C-8A3B-ECB4A60172DD}">
          <x14:formula1>
            <xm:f>Teams!$AH$2:$AH$18</xm:f>
          </x14:formula1>
          <xm:sqref>B30</xm:sqref>
        </x14:dataValidation>
        <x14:dataValidation type="list" xr:uid="{2B872E80-88C2-4615-B07F-10014FD8DEF8}">
          <x14:formula1>
            <xm:f>Teams!$AG$2:$AG$5</xm:f>
          </x14:formula1>
          <xm:sqref>B28</xm:sqref>
        </x14:dataValidation>
        <x14:dataValidation type="list" xr:uid="{271650C0-A05C-49CA-8B37-74342EB169F8}">
          <x14:formula1>
            <xm:f>Teams!$AM$2:$AM$18</xm:f>
          </x14:formula1>
          <xm:sqref>B24</xm:sqref>
        </x14:dataValidation>
        <x14:dataValidation type="list" xr:uid="{745CEB52-6E17-45F3-8E54-9EB38EB20DE9}">
          <x14:formula1>
            <xm:f>Teams!$AL$2:$AL$5</xm:f>
          </x14:formula1>
          <xm:sqref>B23</xm:sqref>
        </x14:dataValidation>
        <x14:dataValidation type="list" xr:uid="{97C45E5A-DDFB-44A8-84CE-2E013D915BAD}">
          <x14:formula1>
            <xm:f>Teams!$AQ$2:$AQ$5</xm:f>
          </x14:formula1>
          <xm:sqref>B20</xm:sqref>
        </x14:dataValidation>
        <x14:dataValidation type="list" xr:uid="{237AF766-DD58-47A2-B6CF-08D027856885}">
          <x14:formula1>
            <xm:f>Teams!$AP$2:$AP$5</xm:f>
          </x14:formula1>
          <xm:sqref>B19</xm:sqref>
        </x14:dataValidation>
        <x14:dataValidation type="list" xr:uid="{8C6BEC88-7739-462F-B926-F286BEF85FC8}">
          <x14:formula1>
            <xm:f>Teams!$AO$2:$AO$5</xm:f>
          </x14:formula1>
          <xm:sqref>B18</xm:sqref>
        </x14:dataValidation>
        <x14:dataValidation type="list" xr:uid="{7129E88E-2B2D-4A8F-AD25-E4BB420D93D1}">
          <x14:formula1>
            <xm:f>Teams!$AN$2:$AN$5</xm:f>
          </x14:formula1>
          <xm:sqref>B17</xm:sqref>
        </x14:dataValidation>
        <x14:dataValidation type="list" xr:uid="{FA0153E6-239E-4ABF-9A40-FE4310519304}">
          <x14:formula1>
            <xm:f>Teams!$AE$2:$AE$18</xm:f>
          </x14:formula1>
          <xm:sqref>B12</xm:sqref>
        </x14:dataValidation>
        <x14:dataValidation type="list" xr:uid="{9EC53A38-9BED-4F5D-8EC0-5DDAB177F40D}">
          <x14:formula1>
            <xm:f>Teams!$AD$2:$AD$5</xm:f>
          </x14:formula1>
          <xm:sqref>B11</xm:sqref>
        </x14:dataValidation>
        <x14:dataValidation type="list" xr:uid="{4A09AD4C-6D4F-49BC-B2DB-81878CDFC84E}">
          <x14:formula1>
            <xm:f>Teams!$AA$2:$AA$13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C3D0-F5F7-489E-98BA-6FDCD95FF2E9}">
  <dimension ref="A1:G47"/>
  <sheetViews>
    <sheetView showGridLines="0" workbookViewId="0">
      <selection activeCell="J4" sqref="J4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2.15" customHeight="1">
      <c r="A1" s="64" t="s">
        <v>0</v>
      </c>
      <c r="B1" s="64"/>
      <c r="C1" s="64"/>
      <c r="D1" s="64"/>
      <c r="E1" s="64"/>
      <c r="F1" s="64"/>
      <c r="G1" s="64"/>
    </row>
    <row r="2" spans="1:7" ht="22.15" customHeight="1" thickBot="1">
      <c r="A2" s="1" t="s">
        <v>1</v>
      </c>
    </row>
    <row r="3" spans="1:7" ht="22.15" customHeight="1" thickBot="1">
      <c r="A3" s="2" t="s">
        <v>219</v>
      </c>
      <c r="B3" s="65" t="s">
        <v>229</v>
      </c>
      <c r="C3" s="66"/>
      <c r="D3" s="67"/>
      <c r="E3" s="2" t="s">
        <v>2</v>
      </c>
      <c r="F3" s="14">
        <f>SUM(B4:F4)</f>
        <v>3.8000000000000003</v>
      </c>
    </row>
    <row r="4" spans="1:7" ht="22.15" customHeight="1" thickBot="1">
      <c r="A4" s="2" t="s">
        <v>38</v>
      </c>
      <c r="B4" s="22">
        <f>IF(B5=SUM(Results!F2:F17),1,1-ABS((B5-SUM(Results!F2:F17))*0.1))+IF('Aaron Hudson'!C9=Results!E2,Results!G2,0)+IF('Aaron Hudson'!C11=Results!E3,Results!G3,0)+IF('Aaron Hudson'!C13=Results!E4,Results!G4,0)+IF('Aaron Hudson'!C15=Results!E5,Results!G5,0)+IF('Aaron Hudson'!C17=Results!E6,Results!G6,0)+IF('Aaron Hudson'!C19=Results!E7,Results!G7,0)+IF('Aaron Hudson'!C21=Results!E8,Results!G8,0)+IF('Aaron Hudson'!C23=Results!E9,Results!G9,0)+IF('Aaron Hudson'!C25=Results!E10,Results!G10,0)+IF('Aaron Hudson'!C27=Results!E11,Results!G11,0)+IF('Aaron Hudson'!C29=Results!E12,Results!G12,0)+IF('Aaron Hudson'!C31=Results!E13,Results!G13,0)+IF('Aaron Hudson'!C33=Results!E14,Results!G14,0)+IF('Aaron Hudson'!C35=Results!E15,Results!G15,0)+IF('Aaron Hudson'!C37=Results!E16,Results!G16,0)+IF('Aaron Hudson'!C39=Results!E17,Results!G17,0)</f>
        <v>1</v>
      </c>
      <c r="C4" s="23">
        <f>IF(C5=SUM(Results!F18:F25),1,1-ABS((C5-SUM(Results!F18:F25))*0.1))+IF('Aaron Hudson'!D10=Results!E18,Results!G18,0)+IF('Aaron Hudson'!D14=Results!E19,Results!G19,0)+IF('Aaron Hudson'!D18=Results!E20,Results!G20,0)+IF('Aaron Hudson'!D22=Results!E21,Results!G21,0)+IF('Aaron Hudson'!D26=Results!E22,Results!G22,0)+IF('Aaron Hudson'!D30=Results!E23,Results!G23,0)+IF('Aaron Hudson'!D34=Results!E24,Results!G24,0)+IF('Aaron Hudson'!D38=Results!E25,Results!G25,0)</f>
        <v>0.6</v>
      </c>
      <c r="D4" s="24">
        <f>IF(D5=SUM(Results!F26:F29),1,1-ABS((D5-SUM(Results!F26:F29))*0.1))+IF(E11=Results!E26,Results!G26,0)+IF('Aaron Hudson'!E19=Results!E27,Results!G27,0)+IF('Aaron Hudson'!E27=Results!E28,Results!G28,0)+IF('Aaron Hudson'!E35=Results!E29,Results!G29,0)</f>
        <v>0.6</v>
      </c>
      <c r="E4" s="23">
        <f>IF(E5=SUM(Results!F30:F31),1,1-ABS((E5-SUM(Results!F30:F31))*0.1))+IF('Aaron Hudson'!F14=Results!E30,Results!G30,0)+IF('Aaron Hudson'!F30=Results!E31,Results!G31,0)</f>
        <v>0.6</v>
      </c>
      <c r="F4" s="25">
        <f>IF(F5=SUM(Results!F32),1,1-ABS((F5-SUM(Results!F32))*0.1))+IF(G19=Results!E32,Results!G32,0)</f>
        <v>1</v>
      </c>
    </row>
    <row r="5" spans="1:7" ht="22.15" customHeight="1" thickBot="1">
      <c r="A5" s="2" t="s">
        <v>228</v>
      </c>
      <c r="B5" s="19">
        <v>96</v>
      </c>
      <c r="C5" s="17">
        <v>44</v>
      </c>
      <c r="D5" s="20">
        <v>20</v>
      </c>
      <c r="E5" s="17">
        <v>8</v>
      </c>
      <c r="F5" s="18">
        <v>6</v>
      </c>
    </row>
    <row r="6" spans="1:7" ht="22.15" customHeight="1"/>
    <row r="7" spans="1:7" ht="22.15" customHeight="1" thickBot="1"/>
    <row r="8" spans="1:7" ht="22.15" customHeight="1" thickBot="1">
      <c r="A8" s="68" t="s">
        <v>3</v>
      </c>
      <c r="B8" s="69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15" customHeight="1" thickBot="1">
      <c r="A9" s="70" t="s">
        <v>6</v>
      </c>
      <c r="B9" s="21" t="s">
        <v>51</v>
      </c>
      <c r="C9" s="11" t="s">
        <v>51</v>
      </c>
    </row>
    <row r="10" spans="1:7" ht="22.15" customHeight="1" thickBot="1">
      <c r="A10" s="71"/>
      <c r="B10" s="4" t="s">
        <v>106</v>
      </c>
      <c r="D10" s="11" t="s">
        <v>86</v>
      </c>
    </row>
    <row r="11" spans="1:7" ht="22.15" customHeight="1" thickBot="1">
      <c r="A11" s="72" t="s">
        <v>8</v>
      </c>
      <c r="B11" s="12" t="s">
        <v>86</v>
      </c>
      <c r="C11" s="11" t="s">
        <v>86</v>
      </c>
      <c r="E11" s="73" t="s">
        <v>86</v>
      </c>
    </row>
    <row r="12" spans="1:7" ht="22.15" customHeight="1" thickBot="1">
      <c r="A12" s="71"/>
      <c r="B12" s="4" t="s">
        <v>94</v>
      </c>
      <c r="E12" s="74"/>
    </row>
    <row r="13" spans="1:7" ht="22.15" customHeight="1" thickBot="1">
      <c r="A13" s="72" t="s">
        <v>10</v>
      </c>
      <c r="B13" s="21" t="s">
        <v>44</v>
      </c>
      <c r="C13" s="11" t="s">
        <v>46</v>
      </c>
      <c r="E13" s="75"/>
    </row>
    <row r="14" spans="1:7" ht="22.15" customHeight="1" thickBot="1">
      <c r="A14" s="71"/>
      <c r="B14" s="21" t="s">
        <v>46</v>
      </c>
      <c r="D14" s="11" t="s">
        <v>85</v>
      </c>
      <c r="F14" s="73" t="s">
        <v>86</v>
      </c>
    </row>
    <row r="15" spans="1:7" ht="22.15" customHeight="1" thickBot="1">
      <c r="A15" s="72" t="s">
        <v>12</v>
      </c>
      <c r="B15" s="21" t="str">
        <f>Results!C5</f>
        <v>Netherlands</v>
      </c>
      <c r="C15" s="11" t="s">
        <v>85</v>
      </c>
      <c r="F15" s="74"/>
    </row>
    <row r="16" spans="1:7" ht="22.15" customHeight="1" thickBot="1">
      <c r="A16" s="71"/>
      <c r="B16" s="21" t="s">
        <v>49</v>
      </c>
      <c r="F16" s="74"/>
    </row>
    <row r="17" spans="1:7" ht="22.15" customHeight="1" thickBot="1">
      <c r="A17" s="72" t="s">
        <v>14</v>
      </c>
      <c r="B17" s="12" t="s">
        <v>125</v>
      </c>
      <c r="C17" s="11" t="s">
        <v>123</v>
      </c>
      <c r="F17" s="74"/>
    </row>
    <row r="18" spans="1:7" ht="22.15" customHeight="1" thickBot="1">
      <c r="A18" s="71"/>
      <c r="B18" s="4" t="s">
        <v>123</v>
      </c>
      <c r="D18" s="11" t="s">
        <v>137</v>
      </c>
      <c r="F18" s="75"/>
    </row>
    <row r="19" spans="1:7" ht="22.15" customHeight="1" thickBot="1">
      <c r="A19" s="72" t="s">
        <v>16</v>
      </c>
      <c r="B19" s="12" t="s">
        <v>137</v>
      </c>
      <c r="C19" s="11" t="s">
        <v>137</v>
      </c>
      <c r="E19" s="73" t="s">
        <v>137</v>
      </c>
      <c r="G19" s="73" t="s">
        <v>48</v>
      </c>
    </row>
    <row r="20" spans="1:7" ht="22.15" customHeight="1" thickBot="1">
      <c r="A20" s="71"/>
      <c r="B20" s="4" t="s">
        <v>114</v>
      </c>
      <c r="E20" s="74"/>
      <c r="G20" s="74"/>
    </row>
    <row r="21" spans="1:7" ht="22.15" customHeight="1" thickBot="1">
      <c r="A21" s="72" t="s">
        <v>18</v>
      </c>
      <c r="B21" s="21" t="s">
        <v>50</v>
      </c>
      <c r="C21" s="11" t="s">
        <v>50</v>
      </c>
      <c r="E21" s="75"/>
      <c r="G21" s="74"/>
    </row>
    <row r="22" spans="1:7" ht="22.15" customHeight="1" thickBot="1">
      <c r="A22" s="71"/>
      <c r="B22" s="21" t="str">
        <f>Results!D8</f>
        <v>Bosnia and Herzegovina</v>
      </c>
      <c r="D22" s="11" t="s">
        <v>124</v>
      </c>
      <c r="G22" s="74"/>
    </row>
    <row r="23" spans="1:7" ht="22.15" customHeight="1" thickBot="1">
      <c r="A23" s="72" t="s">
        <v>20</v>
      </c>
      <c r="B23" s="12" t="s">
        <v>124</v>
      </c>
      <c r="C23" s="11" t="s">
        <v>124</v>
      </c>
      <c r="G23" s="74"/>
    </row>
    <row r="24" spans="1:7" ht="22.15" customHeight="1" thickBot="1">
      <c r="A24" s="71"/>
      <c r="B24" s="4" t="s">
        <v>105</v>
      </c>
      <c r="G24" s="74"/>
    </row>
    <row r="25" spans="1:7" ht="22.15" customHeight="1" thickBot="1">
      <c r="A25" s="72" t="s">
        <v>22</v>
      </c>
      <c r="B25" s="21" t="s">
        <v>48</v>
      </c>
      <c r="C25" s="11" t="s">
        <v>48</v>
      </c>
      <c r="G25" s="74"/>
    </row>
    <row r="26" spans="1:7" ht="22.15" customHeight="1" thickBot="1">
      <c r="A26" s="71"/>
      <c r="B26" s="21" t="str">
        <f>Results!D10</f>
        <v>Japan</v>
      </c>
      <c r="D26" s="11" t="s">
        <v>48</v>
      </c>
      <c r="G26" s="74"/>
    </row>
    <row r="27" spans="1:7" ht="22.15" customHeight="1" thickBot="1">
      <c r="A27" s="72" t="s">
        <v>24</v>
      </c>
      <c r="B27" s="21" t="s">
        <v>88</v>
      </c>
      <c r="C27" s="11" t="s">
        <v>107</v>
      </c>
      <c r="E27" s="73" t="s">
        <v>48</v>
      </c>
      <c r="G27" s="74"/>
    </row>
    <row r="28" spans="1:7" ht="22.15" customHeight="1" thickBot="1">
      <c r="A28" s="71"/>
      <c r="B28" s="9" t="s">
        <v>107</v>
      </c>
      <c r="E28" s="74"/>
      <c r="G28" s="74"/>
    </row>
    <row r="29" spans="1:7" ht="22.15" customHeight="1" thickBot="1">
      <c r="A29" s="72" t="s">
        <v>26</v>
      </c>
      <c r="B29" s="21" t="s">
        <v>43</v>
      </c>
      <c r="C29" s="11" t="s">
        <v>43</v>
      </c>
      <c r="E29" s="75"/>
      <c r="G29" s="75"/>
    </row>
    <row r="30" spans="1:7" ht="22.15" customHeight="1" thickBot="1">
      <c r="A30" s="71"/>
      <c r="B30" s="10" t="s">
        <v>126</v>
      </c>
      <c r="D30" s="11" t="s">
        <v>89</v>
      </c>
      <c r="F30" s="73" t="s">
        <v>48</v>
      </c>
    </row>
    <row r="31" spans="1:7" ht="22.15" customHeight="1" thickBot="1">
      <c r="A31" s="72" t="s">
        <v>28</v>
      </c>
      <c r="B31" s="13" t="s">
        <v>89</v>
      </c>
      <c r="C31" s="11" t="s">
        <v>89</v>
      </c>
      <c r="F31" s="74"/>
    </row>
    <row r="32" spans="1:7" ht="22.15" customHeight="1" thickBot="1">
      <c r="A32" s="71"/>
      <c r="B32" s="10" t="s">
        <v>91</v>
      </c>
      <c r="F32" s="74"/>
    </row>
    <row r="33" spans="1:6" ht="22.15" customHeight="1" thickBot="1">
      <c r="A33" s="72" t="s">
        <v>30</v>
      </c>
      <c r="B33" s="21" t="s">
        <v>93</v>
      </c>
      <c r="C33" s="11" t="s">
        <v>93</v>
      </c>
      <c r="F33" s="74"/>
    </row>
    <row r="34" spans="1:6" ht="22.15" customHeight="1" thickBot="1">
      <c r="A34" s="71"/>
      <c r="B34" s="10" t="s">
        <v>113</v>
      </c>
      <c r="D34" s="11" t="s">
        <v>93</v>
      </c>
      <c r="F34" s="75"/>
    </row>
    <row r="35" spans="1:6" ht="22.15" customHeight="1" thickBot="1">
      <c r="A35" s="72" t="s">
        <v>32</v>
      </c>
      <c r="B35" s="21" t="str">
        <f>Results!C15</f>
        <v>Australia</v>
      </c>
      <c r="C35" s="11" t="s">
        <v>115</v>
      </c>
      <c r="E35" s="73" t="s">
        <v>93</v>
      </c>
    </row>
    <row r="36" spans="1:6" ht="22.15" customHeight="1" thickBot="1">
      <c r="A36" s="71"/>
      <c r="B36" s="10" t="s">
        <v>111</v>
      </c>
      <c r="E36" s="74"/>
    </row>
    <row r="37" spans="1:6" ht="22.15" customHeight="1" thickBot="1">
      <c r="A37" s="72" t="s">
        <v>34</v>
      </c>
      <c r="B37" s="21" t="s">
        <v>45</v>
      </c>
      <c r="C37" s="11" t="s">
        <v>45</v>
      </c>
      <c r="E37" s="75"/>
    </row>
    <row r="38" spans="1:6" ht="22.15" customHeight="1" thickBot="1">
      <c r="A38" s="71"/>
      <c r="B38" s="10" t="s">
        <v>109</v>
      </c>
      <c r="D38" s="11" t="s">
        <v>133</v>
      </c>
    </row>
    <row r="39" spans="1:6" ht="22.15" customHeight="1" thickBot="1">
      <c r="A39" s="72" t="s">
        <v>36</v>
      </c>
      <c r="B39" s="13" t="s">
        <v>112</v>
      </c>
      <c r="C39" s="11" t="s">
        <v>133</v>
      </c>
    </row>
    <row r="40" spans="1:6" ht="22.15" customHeight="1" thickBot="1">
      <c r="A40" s="71"/>
      <c r="B40" s="10" t="s">
        <v>133</v>
      </c>
    </row>
    <row r="41" spans="1:6" ht="22.15" customHeight="1"/>
    <row r="42" spans="1:6" ht="22.15" customHeight="1"/>
    <row r="43" spans="1:6" ht="22.15" customHeight="1"/>
    <row r="44" spans="1:6" ht="22.15" customHeight="1"/>
    <row r="45" spans="1:6" ht="22.15" customHeight="1"/>
    <row r="46" spans="1:6" ht="22.15" customHeight="1"/>
    <row r="47" spans="1:6" ht="22.15" customHeight="1"/>
  </sheetData>
  <mergeCells count="26">
    <mergeCell ref="A39:A40"/>
    <mergeCell ref="E35:E37"/>
    <mergeCell ref="A9:A10"/>
    <mergeCell ref="A11:A12"/>
    <mergeCell ref="A13:A14"/>
    <mergeCell ref="A15:A16"/>
    <mergeCell ref="A17:A18"/>
    <mergeCell ref="A19:A20"/>
    <mergeCell ref="A21:A22"/>
    <mergeCell ref="A23:A24"/>
    <mergeCell ref="A31:A32"/>
    <mergeCell ref="A33:A34"/>
    <mergeCell ref="A35:A36"/>
    <mergeCell ref="A37:A38"/>
    <mergeCell ref="A1:G1"/>
    <mergeCell ref="B3:D3"/>
    <mergeCell ref="E11:E13"/>
    <mergeCell ref="F14:F18"/>
    <mergeCell ref="E19:E21"/>
    <mergeCell ref="G19:G29"/>
    <mergeCell ref="E27:E29"/>
    <mergeCell ref="A25:A26"/>
    <mergeCell ref="A27:A28"/>
    <mergeCell ref="A29:A30"/>
    <mergeCell ref="A8:B8"/>
    <mergeCell ref="F30:F34"/>
  </mergeCells>
  <conditionalFormatting sqref="B9 B13:B16 B21:B22 B25:B27 B29 B33 B35 B37">
    <cfRule type="duplicateValues" dxfId="60" priority="43"/>
  </conditionalFormatting>
  <conditionalFormatting sqref="B10">
    <cfRule type="duplicateValues" dxfId="59" priority="9"/>
  </conditionalFormatting>
  <conditionalFormatting sqref="B11:B12">
    <cfRule type="duplicateValues" dxfId="58" priority="8"/>
  </conditionalFormatting>
  <conditionalFormatting sqref="B17:B20">
    <cfRule type="duplicateValues" dxfId="57" priority="7"/>
  </conditionalFormatting>
  <conditionalFormatting sqref="B23:B24">
    <cfRule type="duplicateValues" dxfId="56" priority="6"/>
  </conditionalFormatting>
  <conditionalFormatting sqref="B28">
    <cfRule type="duplicateValues" dxfId="55" priority="5"/>
  </conditionalFormatting>
  <conditionalFormatting sqref="B30:B32">
    <cfRule type="duplicateValues" dxfId="54" priority="4"/>
  </conditionalFormatting>
  <conditionalFormatting sqref="B34">
    <cfRule type="duplicateValues" dxfId="53" priority="3"/>
  </conditionalFormatting>
  <conditionalFormatting sqref="B36">
    <cfRule type="duplicateValues" dxfId="52" priority="2"/>
  </conditionalFormatting>
  <conditionalFormatting sqref="B38:B40">
    <cfRule type="duplicateValues" dxfId="51" priority="1"/>
  </conditionalFormatting>
  <dataValidations count="31">
    <dataValidation type="list" sqref="G19" xr:uid="{4E714A22-A3B9-4195-B385-28A47D21AC4A}">
      <formula1>$F$14:$F$30</formula1>
    </dataValidation>
    <dataValidation type="list" sqref="F30" xr:uid="{5EA3A1A0-3369-433F-ABA7-B117BAD37DFE}">
      <formula1>$E$27:$E$35</formula1>
    </dataValidation>
    <dataValidation type="list" sqref="F14" xr:uid="{0FC42065-F298-4567-866D-96106887281B}">
      <formula1>$E$11:$E$19</formula1>
    </dataValidation>
    <dataValidation type="list" sqref="E35" xr:uid="{28EC186B-3731-4A83-97E2-24CE37583845}">
      <formula1>$D$34:$D$38</formula1>
    </dataValidation>
    <dataValidation type="list" sqref="E27" xr:uid="{04D7A981-46F2-40A0-8DE2-9BDEA46B91C2}">
      <formula1>$D$26:$D$30</formula1>
    </dataValidation>
    <dataValidation type="list" sqref="E19" xr:uid="{B8818320-378F-4954-8CC4-DA10F2523015}">
      <formula1>$D$18:$D$22</formula1>
    </dataValidation>
    <dataValidation type="list" sqref="E11" xr:uid="{B189A373-97BF-44E8-B6CF-6DD08B546158}">
      <formula1>$D$10:$D$14</formula1>
    </dataValidation>
    <dataValidation type="list" sqref="D38" xr:uid="{CC3AA932-FB8D-4C24-BFBD-B85C6E33A2E5}">
      <formula1>$C$37:$C$39</formula1>
    </dataValidation>
    <dataValidation type="list" sqref="D34" xr:uid="{9910BF67-A62A-48A1-B590-CAFA1BD40F00}">
      <formula1>$C$33:$C$35</formula1>
    </dataValidation>
    <dataValidation type="list" sqref="D30" xr:uid="{7B4D47AC-B855-419F-A9A0-19E2466CA4E3}">
      <formula1>$C$29:$C$31</formula1>
    </dataValidation>
    <dataValidation type="list" sqref="D26" xr:uid="{47CEC3F0-033F-494C-AF50-5040D641E35C}">
      <formula1>$C$25:$C$27</formula1>
    </dataValidation>
    <dataValidation type="list" sqref="D22" xr:uid="{B952B586-DD9B-4E0A-9CBC-8A712CC2B811}">
      <formula1>$C$21:$C$23</formula1>
    </dataValidation>
    <dataValidation type="list" sqref="D18" xr:uid="{728FD37B-B738-4ABB-B952-4074800BDEC0}">
      <formula1>$C$17:$C$19</formula1>
    </dataValidation>
    <dataValidation type="list" sqref="D14" xr:uid="{CF53C1A6-99D4-4956-8E4B-58209D8EF554}">
      <formula1>$C$13:$C$15</formula1>
    </dataValidation>
    <dataValidation type="list" sqref="D10" xr:uid="{5404A487-0266-4D59-BE99-4585F4953698}">
      <formula1>$C$9:$C$11</formula1>
    </dataValidation>
    <dataValidation type="list" sqref="C39" xr:uid="{AA09C31A-E8AB-4D8A-88D8-920CE2FACD12}">
      <formula1>$B$39:$B$40</formula1>
    </dataValidation>
    <dataValidation type="list" sqref="C37" xr:uid="{6E959271-6753-42B8-BBF7-F6BCE7D72B7F}">
      <formula1>$B$37:$B$38</formula1>
    </dataValidation>
    <dataValidation type="list" sqref="C35" xr:uid="{C5503F25-D4DD-44AD-B677-866138484A01}">
      <formula1>$B$35:$B$36</formula1>
    </dataValidation>
    <dataValidation type="list" sqref="C33" xr:uid="{9BFED9F1-C384-495C-96AD-F5DE723CF878}">
      <formula1>$B$33:$B$34</formula1>
    </dataValidation>
    <dataValidation type="list" sqref="C31" xr:uid="{1C3F2E85-C1AF-4E5D-970A-9831BF9858A6}">
      <formula1>$B$31:$B$32</formula1>
    </dataValidation>
    <dataValidation type="list" sqref="C29" xr:uid="{78FC384E-F5A6-4564-918F-29A953CE404C}">
      <formula1>$B$29:$B$30</formula1>
    </dataValidation>
    <dataValidation type="list" sqref="C27" xr:uid="{25EA8B0D-D45F-4FE2-B3FE-FCA479C81F8E}">
      <formula1>$B$27:$B$28</formula1>
    </dataValidation>
    <dataValidation type="list" sqref="C25" xr:uid="{7977D3D2-CEE2-442A-85EB-7B3B56AE44BE}">
      <formula1>$B$25:$B$26</formula1>
    </dataValidation>
    <dataValidation type="list" sqref="C23" xr:uid="{DFE51332-312D-4750-89CC-8C4CC7123543}">
      <formula1>$B$23:$B$24</formula1>
    </dataValidation>
    <dataValidation type="list" sqref="C21" xr:uid="{59D8C4C8-E73E-406D-A112-8531A526A386}">
      <formula1>$B$21:$B$22</formula1>
    </dataValidation>
    <dataValidation type="list" sqref="C19" xr:uid="{391E2B5F-F606-4817-A059-0FBC62DD8C73}">
      <formula1>$B$19:$B$20</formula1>
    </dataValidation>
    <dataValidation type="list" sqref="C17" xr:uid="{68755669-E338-40A7-9176-D98C9EB1979A}">
      <formula1>$B$17:$B$18</formula1>
    </dataValidation>
    <dataValidation type="list" sqref="C15" xr:uid="{10C930F7-47CF-4D6C-B22B-CCA5C8DC3E9D}">
      <formula1>$B$15:$B$16</formula1>
    </dataValidation>
    <dataValidation type="list" sqref="C13" xr:uid="{C9D1473B-4A4F-4974-B7C6-06E688ED5535}">
      <formula1>$B$13:$B$14</formula1>
    </dataValidation>
    <dataValidation type="list" sqref="C11" xr:uid="{4CB35B2B-1F04-4228-A4DE-F38515F60CC2}">
      <formula1>$B$11:$B$12</formula1>
    </dataValidation>
    <dataValidation type="list" sqref="C9" xr:uid="{9E667F5D-B344-46CB-B17E-CF3EBDBDBC18}">
      <formula1>$B$9:$B$10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equal" id="{377E1CAB-11FB-485A-80A5-E70BB987F9F7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41" operator="equal" id="{2D6C6AFF-3D7E-4D28-B2BC-C7AAE015574B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40" operator="equal" id="{95B2D26C-7E9D-4146-8FE6-06B95B64AB9C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9" operator="equal" id="{FC3D8E1E-F1FD-47A1-A95C-078D16A7441D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7" operator="equal" id="{39091EAB-1807-4027-BB6F-F8F2552A7BEB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6" operator="equal" id="{3DE7F54D-6EFE-49E8-9828-7333A206A146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5" operator="equal" id="{B0F6E9E9-8D35-424C-B0DA-FDB4E09F8421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4" operator="equal" id="{13FC1985-9BEA-4C55-8A09-B7FE36000EE6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3" operator="equal" id="{D6E8AE1C-96BC-4443-87ED-EED97BA64A1D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32" operator="equal" id="{416A7D7C-897F-47E1-A7C3-13B8BA991FF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31" operator="equal" id="{F8CA92DA-2D9E-4558-B760-A3B875731438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30" operator="equal" id="{CD4374A6-B702-48DB-9208-0A4CA021033B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9" operator="equal" id="{66278258-4185-4499-89DB-30F640336C76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8" operator="equal" id="{CB88E6E7-9BB4-4F73-8E87-90BD7BF7D900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7" operator="equal" id="{4D7851AC-5979-41FB-ACE7-0A0262B6A408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6" operator="equal" id="{B2E51A24-3386-4DF7-96FE-AFEC165A6010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5" operator="equal" id="{24135056-1037-4180-B055-30B0447A94CD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4" operator="equal" id="{B1A9F15B-428D-465D-8DAA-ED3B8C132079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22" operator="equal" id="{62B1E9B1-B911-439E-8C46-38E1D96ABB90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21" operator="equal" id="{63C7A0EB-876E-407E-A4A0-249920316CA1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20" operator="equal" id="{0D8D0CB6-D7DB-49B3-9228-353F34763695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9" operator="equal" id="{1CB5AD51-3E23-42ED-BB4C-489F122850EC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8" operator="equal" id="{B974DF61-2EF5-4691-BC37-0AD429FC6830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7" operator="equal" id="{F3795A74-E8C4-4DD0-B457-96DFF5CC51EE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6" operator="equal" id="{DC80CA71-69D3-43F3-93FA-3B82EE6C747F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5" operator="equal" id="{42B0F896-0A7C-40C7-89B9-8E66F22031F1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4" operator="equal" id="{38A81A28-BF88-4359-B679-1A1B99A3C428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3" operator="equal" id="{9D239FFD-510A-40C0-8909-43E1C5B109EC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12" operator="equal" id="{FB7F9C62-D839-49BC-A8D7-1BC654AEF0BC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11" operator="equal" id="{CAF7D2D7-E37A-4DE1-AC75-F416ECFC4AE6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10" operator="equal" id="{1872D3A0-9D9A-4671-900E-BEA6E3BFC218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xr:uid="{BC71381E-DFBE-4EA6-889D-1022EEF6E4AD}">
          <x14:formula1>
            <xm:f>Teams!$AA$2:$AA$13</xm:f>
          </x14:formula1>
          <xm:sqref>B10</xm:sqref>
        </x14:dataValidation>
        <x14:dataValidation type="list" xr:uid="{C48A9DB7-EA0D-4C27-AC1E-9EC4169194D9}">
          <x14:formula1>
            <xm:f>Teams!$AD$2:$AD$5</xm:f>
          </x14:formula1>
          <xm:sqref>B11</xm:sqref>
        </x14:dataValidation>
        <x14:dataValidation type="list" xr:uid="{5E26C96C-26E1-44EF-B31B-B39B07C6FD3C}">
          <x14:formula1>
            <xm:f>Teams!$AE$2:$AE$18</xm:f>
          </x14:formula1>
          <xm:sqref>B12</xm:sqref>
        </x14:dataValidation>
        <x14:dataValidation type="list" xr:uid="{98AAB21E-B2A6-46A5-9D52-AFD8B8425473}">
          <x14:formula1>
            <xm:f>Teams!$AN$2:$AN$5</xm:f>
          </x14:formula1>
          <xm:sqref>B17</xm:sqref>
        </x14:dataValidation>
        <x14:dataValidation type="list" xr:uid="{6ABC919A-BC43-4FDD-996D-C205074136AF}">
          <x14:formula1>
            <xm:f>Teams!$AO$2:$AO$5</xm:f>
          </x14:formula1>
          <xm:sqref>B18</xm:sqref>
        </x14:dataValidation>
        <x14:dataValidation type="list" xr:uid="{A7A41961-9C92-47E8-905D-E0AE3C429677}">
          <x14:formula1>
            <xm:f>Teams!$AP$2:$AP$5</xm:f>
          </x14:formula1>
          <xm:sqref>B19</xm:sqref>
        </x14:dataValidation>
        <x14:dataValidation type="list" xr:uid="{5901E2A3-2724-4B2B-ADC6-664C348305B7}">
          <x14:formula1>
            <xm:f>Teams!$AQ$2:$AQ$5</xm:f>
          </x14:formula1>
          <xm:sqref>B20</xm:sqref>
        </x14:dataValidation>
        <x14:dataValidation type="list" xr:uid="{D0686847-94C2-447D-8770-6BF68EE2CDED}">
          <x14:formula1>
            <xm:f>Teams!$AL$2:$AL$5</xm:f>
          </x14:formula1>
          <xm:sqref>B23</xm:sqref>
        </x14:dataValidation>
        <x14:dataValidation type="list" xr:uid="{1E9BC1E3-1E4D-49E2-B7B3-10B88119DA69}">
          <x14:formula1>
            <xm:f>Teams!$AM$2:$AM$18</xm:f>
          </x14:formula1>
          <xm:sqref>B24</xm:sqref>
        </x14:dataValidation>
        <x14:dataValidation type="list" xr:uid="{0656C00D-05BE-4646-9012-17CD4C633DD9}">
          <x14:formula1>
            <xm:f>Teams!$AG$2:$AG$5</xm:f>
          </x14:formula1>
          <xm:sqref>B28</xm:sqref>
        </x14:dataValidation>
        <x14:dataValidation type="list" xr:uid="{95A077F9-3A0B-4206-8FFB-26636C7ED0AF}">
          <x14:formula1>
            <xm:f>Teams!$AH$2:$AH$18</xm:f>
          </x14:formula1>
          <xm:sqref>B30</xm:sqref>
        </x14:dataValidation>
        <x14:dataValidation type="list" xr:uid="{852C4D95-378C-4CAC-ACE2-371356A29ABA}">
          <x14:formula1>
            <xm:f>Teams!$AI$2:$AI$5</xm:f>
          </x14:formula1>
          <xm:sqref>B31</xm:sqref>
        </x14:dataValidation>
        <x14:dataValidation type="list" xr:uid="{428324DB-1639-45B9-8EE9-64CC3941A12C}">
          <x14:formula1>
            <xm:f>Teams!$AJ$2:$AJ$20</xm:f>
          </x14:formula1>
          <xm:sqref>B32</xm:sqref>
        </x14:dataValidation>
        <x14:dataValidation type="list" xr:uid="{A0254FA1-63B8-44B6-9F2C-FA890B343C6C}">
          <x14:formula1>
            <xm:f>Teams!$AT$2:$AT$5</xm:f>
          </x14:formula1>
          <xm:sqref>B34</xm:sqref>
        </x14:dataValidation>
        <x14:dataValidation type="list" xr:uid="{FCF00892-1315-4D5D-BE48-561A0AD86298}">
          <x14:formula1>
            <xm:f>Teams!$AX$2:$AX$5</xm:f>
          </x14:formula1>
          <xm:sqref>B36</xm:sqref>
        </x14:dataValidation>
        <x14:dataValidation type="list" xr:uid="{12BBA726-A85D-4AC1-AF1F-7F40BD1EC55A}">
          <x14:formula1>
            <xm:f>Teams!$AR$2:$AR$20</xm:f>
          </x14:formula1>
          <xm:sqref>B38</xm:sqref>
        </x14:dataValidation>
        <x14:dataValidation type="list" xr:uid="{6ECE79AE-A1AC-408C-8426-44F0EA57B9D0}">
          <x14:formula1>
            <xm:f>Teams!$AU$2:$AU$5</xm:f>
          </x14:formula1>
          <xm:sqref>B39</xm:sqref>
        </x14:dataValidation>
        <x14:dataValidation type="list" xr:uid="{0899F724-BD80-48F4-9536-3CF8FB125678}">
          <x14:formula1>
            <xm:f>Teams!$AV$2:$AV$19</xm:f>
          </x14:formula1>
          <xm:sqref>B40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221-2D07-4B33-ACD1-043714F3022A}">
  <dimension ref="A1:G47"/>
  <sheetViews>
    <sheetView showGridLines="0" workbookViewId="0">
      <selection activeCell="B3" sqref="B3:D3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1.95" customHeight="1">
      <c r="A1" s="64" t="s">
        <v>0</v>
      </c>
      <c r="B1" s="64"/>
      <c r="C1" s="64"/>
      <c r="D1" s="64"/>
      <c r="E1" s="64"/>
      <c r="F1" s="64"/>
      <c r="G1" s="64"/>
    </row>
    <row r="2" spans="1:7" ht="21.95" customHeight="1" thickBot="1">
      <c r="A2" s="1" t="s">
        <v>1</v>
      </c>
    </row>
    <row r="3" spans="1:7" ht="21.95" customHeight="1" thickBot="1">
      <c r="A3" s="2" t="s">
        <v>219</v>
      </c>
      <c r="B3" s="65" t="s">
        <v>233</v>
      </c>
      <c r="C3" s="66"/>
      <c r="D3" s="67"/>
      <c r="E3" s="2" t="s">
        <v>2</v>
      </c>
      <c r="F3" s="14">
        <f>SUM(B4:F4)</f>
        <v>-5.2000000000000011</v>
      </c>
    </row>
    <row r="4" spans="1:7" ht="21.95" customHeight="1" thickBot="1">
      <c r="A4" s="2" t="s">
        <v>38</v>
      </c>
      <c r="B4" s="26">
        <f>IF(B5=SUM([2]Results!F2:F17),1,1-ABS((B5-SUM([2]Results!F2:F17))*0.1))+IF(Elliot!C9=[2]Results!E2,[2]Results!G2,0)+IF(Elliot!C11=[2]Results!E3,[2]Results!G3,0)+IF(Elliot!C13=[2]Results!E4,[2]Results!G4,0)+IF(Elliot!C15=[2]Results!E5,[2]Results!G5,0)+IF(Elliot!C17=[2]Results!E6,[2]Results!G6,0)+IF(Elliot!C19=[2]Results!E7,[2]Results!G7,0)+IF(Elliot!C21=[2]Results!E8,[2]Results!G8,0)+IF(Elliot!C23=[2]Results!E9,[2]Results!G9,0)+IF(Elliot!C25=[2]Results!E10,[2]Results!G10,0)+IF(Elliot!C27=[2]Results!E11,[2]Results!G11,0)+IF(Elliot!C29=[2]Results!E12,[2]Results!G12,0)+IF(Elliot!C31=[2]Results!E13,[2]Results!G13,0)+IF(Elliot!C33=[2]Results!E14,[2]Results!G14,0)+IF(Elliot!C35=[2]Results!E15,[2]Results!G15,0)+IF(Elliot!C37=[2]Results!E16,[2]Results!G16,0)+IF(Elliot!C39=[2]Results!E17,[2]Results!G17,0)</f>
        <v>-4.2</v>
      </c>
      <c r="C4" s="27">
        <f>IF(C5=SUM([2]Results!F18:F25),1,1-ABS((C5-SUM([2]Results!F18:F25))*0.1))+IF(Elliot!D10=[2]Results!E18,[2]Results!G18,0)+IF(Elliot!D14=[2]Results!E19,[2]Results!G19,0)+IF(Elliot!D18=[2]Results!E20,[2]Results!G20,0)+IF(Elliot!D22=[2]Results!E21,[2]Results!G21,0)+IF(Elliot!D26=[2]Results!E22,[2]Results!G22,0)+IF(Elliot!D30=[2]Results!E23,[2]Results!G23,0)+IF(Elliot!D34=[2]Results!E24,[2]Results!G24,0)+IF(Elliot!D38=[2]Results!E25,[2]Results!G25,0)</f>
        <v>-1.6</v>
      </c>
      <c r="D4" s="28">
        <f>IF(D5=SUM([2]Results!F26:F29),1,1-ABS((D5-SUM([2]Results!F26:F29))*0.1))+IF(E11=[2]Results!E26,[2]Results!G26,0)+IF(Elliot!E19=[2]Results!E27,[2]Results!G27,0)+IF(Elliot!E27=[2]Results!E28,[2]Results!G28,0)+IF(Elliot!E35=[2]Results!E29,[2]Results!G29,0)</f>
        <v>-0.40000000000000013</v>
      </c>
      <c r="E4" s="27">
        <f>IF(E5=SUM([2]Results!F30:F31),1,1-ABS((E5-SUM([2]Results!F30:F31))*0.1))+IF(Elliot!F14=[2]Results!E30,[2]Results!G30,0)+IF(Elliot!F30=[2]Results!E31,[2]Results!G31,0)</f>
        <v>0.29999999999999993</v>
      </c>
      <c r="F4" s="29">
        <f>IF(F5=SUM([2]Results!F32),1,1-ABS((F5-SUM([2]Results!F32))*0.1))+IF(G19=[2]Results!E32,[2]Results!G32,0)</f>
        <v>0.7</v>
      </c>
    </row>
    <row r="5" spans="1:7" ht="21.95" customHeight="1" thickBot="1">
      <c r="A5" s="2" t="s">
        <v>228</v>
      </c>
      <c r="B5" s="19">
        <v>44</v>
      </c>
      <c r="C5" s="17">
        <v>22</v>
      </c>
      <c r="D5" s="20">
        <v>10</v>
      </c>
      <c r="E5" s="17">
        <v>5</v>
      </c>
      <c r="F5" s="18">
        <v>3</v>
      </c>
    </row>
    <row r="6" spans="1:7" ht="21.95" customHeight="1"/>
    <row r="7" spans="1:7" ht="21.95" customHeight="1" thickBot="1"/>
    <row r="8" spans="1:7" ht="21.95" customHeight="1" thickBot="1">
      <c r="A8" s="68" t="s">
        <v>3</v>
      </c>
      <c r="B8" s="69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1.95" customHeight="1" thickBot="1">
      <c r="A9" s="70" t="s">
        <v>6</v>
      </c>
      <c r="B9" s="30" t="s">
        <v>51</v>
      </c>
      <c r="C9" s="11" t="s">
        <v>51</v>
      </c>
    </row>
    <row r="10" spans="1:7" ht="21.95" customHeight="1" thickBot="1">
      <c r="A10" s="71"/>
      <c r="B10" s="4" t="s">
        <v>94</v>
      </c>
      <c r="D10" s="11" t="s">
        <v>86</v>
      </c>
    </row>
    <row r="11" spans="1:7" ht="21.95" customHeight="1" thickBot="1">
      <c r="A11" s="72" t="s">
        <v>8</v>
      </c>
      <c r="B11" s="12" t="s">
        <v>86</v>
      </c>
      <c r="C11" s="11" t="s">
        <v>86</v>
      </c>
      <c r="E11" s="73" t="s">
        <v>86</v>
      </c>
    </row>
    <row r="12" spans="1:7" ht="21.95" customHeight="1" thickBot="1">
      <c r="A12" s="71"/>
      <c r="B12" s="4" t="s">
        <v>120</v>
      </c>
      <c r="E12" s="74"/>
    </row>
    <row r="13" spans="1:7" ht="21.95" customHeight="1" thickBot="1">
      <c r="A13" s="72" t="s">
        <v>10</v>
      </c>
      <c r="B13" s="30" t="s">
        <v>44</v>
      </c>
      <c r="C13" s="11" t="s">
        <v>46</v>
      </c>
      <c r="E13" s="75"/>
    </row>
    <row r="14" spans="1:7" ht="21.95" customHeight="1" thickBot="1">
      <c r="A14" s="71"/>
      <c r="B14" s="30" t="s">
        <v>46</v>
      </c>
      <c r="D14" s="11" t="s">
        <v>85</v>
      </c>
      <c r="F14" s="73" t="s">
        <v>86</v>
      </c>
    </row>
    <row r="15" spans="1:7" ht="21.95" customHeight="1" thickBot="1">
      <c r="A15" s="72" t="s">
        <v>12</v>
      </c>
      <c r="B15" s="30" t="s">
        <v>85</v>
      </c>
      <c r="C15" s="11" t="s">
        <v>85</v>
      </c>
      <c r="F15" s="74"/>
    </row>
    <row r="16" spans="1:7" ht="21.95" customHeight="1" thickBot="1">
      <c r="A16" s="71"/>
      <c r="B16" s="30" t="s">
        <v>49</v>
      </c>
      <c r="F16" s="74"/>
    </row>
    <row r="17" spans="1:7" ht="21.95" customHeight="1" thickBot="1">
      <c r="A17" s="72" t="s">
        <v>14</v>
      </c>
      <c r="B17" s="12" t="s">
        <v>91</v>
      </c>
      <c r="C17" s="11" t="s">
        <v>91</v>
      </c>
      <c r="F17" s="74"/>
    </row>
    <row r="18" spans="1:7" ht="21.95" customHeight="1" thickBot="1">
      <c r="A18" s="71"/>
      <c r="B18" s="4" t="s">
        <v>110</v>
      </c>
      <c r="D18" s="11" t="s">
        <v>92</v>
      </c>
      <c r="F18" s="75"/>
    </row>
    <row r="19" spans="1:7" ht="21.95" customHeight="1" thickBot="1">
      <c r="A19" s="72" t="s">
        <v>16</v>
      </c>
      <c r="B19" s="12" t="s">
        <v>92</v>
      </c>
      <c r="C19" s="11" t="s">
        <v>92</v>
      </c>
      <c r="E19" s="73" t="s">
        <v>92</v>
      </c>
      <c r="G19" s="73" t="s">
        <v>86</v>
      </c>
    </row>
    <row r="20" spans="1:7" ht="21.95" customHeight="1" thickBot="1">
      <c r="A20" s="71"/>
      <c r="B20" s="4" t="s">
        <v>127</v>
      </c>
      <c r="E20" s="74"/>
      <c r="G20" s="74"/>
    </row>
    <row r="21" spans="1:7" ht="21.95" customHeight="1" thickBot="1">
      <c r="A21" s="72" t="s">
        <v>18</v>
      </c>
      <c r="B21" s="30" t="s">
        <v>50</v>
      </c>
      <c r="C21" s="11" t="s">
        <v>50</v>
      </c>
      <c r="E21" s="75"/>
      <c r="G21" s="74"/>
    </row>
    <row r="22" spans="1:7" ht="21.95" customHeight="1" thickBot="1">
      <c r="A22" s="71"/>
      <c r="B22" s="30" t="s">
        <v>47</v>
      </c>
      <c r="D22" s="11" t="s">
        <v>50</v>
      </c>
      <c r="G22" s="74"/>
    </row>
    <row r="23" spans="1:7" ht="21.95" customHeight="1" thickBot="1">
      <c r="A23" s="72" t="s">
        <v>20</v>
      </c>
      <c r="B23" s="12" t="s">
        <v>111</v>
      </c>
      <c r="C23" s="11" t="s">
        <v>137</v>
      </c>
      <c r="G23" s="74"/>
    </row>
    <row r="24" spans="1:7" ht="21.95" customHeight="1" thickBot="1">
      <c r="A24" s="71"/>
      <c r="B24" s="4" t="s">
        <v>137</v>
      </c>
      <c r="G24" s="74"/>
    </row>
    <row r="25" spans="1:7" ht="21.95" customHeight="1" thickBot="1">
      <c r="A25" s="72" t="s">
        <v>22</v>
      </c>
      <c r="B25" s="30" t="s">
        <v>48</v>
      </c>
      <c r="C25" s="11" t="s">
        <v>48</v>
      </c>
      <c r="G25" s="74"/>
    </row>
    <row r="26" spans="1:7" ht="21.95" customHeight="1" thickBot="1">
      <c r="A26" s="71"/>
      <c r="B26" s="30" t="s">
        <v>106</v>
      </c>
      <c r="D26" s="11" t="s">
        <v>48</v>
      </c>
      <c r="G26" s="74"/>
    </row>
    <row r="27" spans="1:7" ht="21.95" customHeight="1" thickBot="1">
      <c r="A27" s="72" t="s">
        <v>24</v>
      </c>
      <c r="B27" s="30" t="s">
        <v>88</v>
      </c>
      <c r="C27" s="11" t="s">
        <v>133</v>
      </c>
      <c r="E27" s="73" t="s">
        <v>89</v>
      </c>
      <c r="G27" s="74"/>
    </row>
    <row r="28" spans="1:7" ht="21.95" customHeight="1" thickBot="1">
      <c r="A28" s="71"/>
      <c r="B28" s="9" t="s">
        <v>133</v>
      </c>
      <c r="E28" s="74"/>
      <c r="G28" s="74"/>
    </row>
    <row r="29" spans="1:7" ht="21.95" customHeight="1" thickBot="1">
      <c r="A29" s="72" t="s">
        <v>26</v>
      </c>
      <c r="B29" s="30" t="s">
        <v>43</v>
      </c>
      <c r="C29" s="11" t="s">
        <v>43</v>
      </c>
      <c r="E29" s="75"/>
      <c r="G29" s="75"/>
    </row>
    <row r="30" spans="1:7" ht="21.95" customHeight="1" thickBot="1">
      <c r="A30" s="71"/>
      <c r="B30" s="10" t="s">
        <v>109</v>
      </c>
      <c r="D30" s="11" t="s">
        <v>89</v>
      </c>
      <c r="F30" s="73" t="s">
        <v>93</v>
      </c>
    </row>
    <row r="31" spans="1:7" ht="21.95" customHeight="1" thickBot="1">
      <c r="A31" s="72" t="s">
        <v>28</v>
      </c>
      <c r="B31" s="13" t="s">
        <v>89</v>
      </c>
      <c r="C31" s="11" t="s">
        <v>89</v>
      </c>
      <c r="F31" s="74"/>
    </row>
    <row r="32" spans="1:7" ht="21.95" customHeight="1" thickBot="1">
      <c r="A32" s="71"/>
      <c r="B32" s="10" t="s">
        <v>112</v>
      </c>
      <c r="F32" s="74"/>
    </row>
    <row r="33" spans="1:6" ht="21.95" customHeight="1" thickBot="1">
      <c r="A33" s="72" t="s">
        <v>30</v>
      </c>
      <c r="B33" s="30" t="s">
        <v>93</v>
      </c>
      <c r="C33" s="11" t="s">
        <v>93</v>
      </c>
      <c r="F33" s="74"/>
    </row>
    <row r="34" spans="1:6" ht="21.95" customHeight="1" thickBot="1">
      <c r="A34" s="71"/>
      <c r="B34" s="10" t="s">
        <v>113</v>
      </c>
      <c r="D34" s="11" t="s">
        <v>93</v>
      </c>
      <c r="F34" s="75"/>
    </row>
    <row r="35" spans="1:6" ht="21.95" customHeight="1" thickBot="1">
      <c r="A35" s="72" t="s">
        <v>32</v>
      </c>
      <c r="B35" s="30" t="s">
        <v>115</v>
      </c>
      <c r="C35" s="11" t="s">
        <v>90</v>
      </c>
      <c r="E35" s="73" t="s">
        <v>93</v>
      </c>
    </row>
    <row r="36" spans="1:6" ht="21.95" customHeight="1" thickBot="1">
      <c r="A36" s="71"/>
      <c r="B36" s="10" t="s">
        <v>90</v>
      </c>
      <c r="E36" s="74"/>
    </row>
    <row r="37" spans="1:6" ht="21.95" customHeight="1" thickBot="1">
      <c r="A37" s="72" t="s">
        <v>34</v>
      </c>
      <c r="B37" s="30" t="s">
        <v>45</v>
      </c>
      <c r="C37" s="11" t="s">
        <v>45</v>
      </c>
      <c r="E37" s="75"/>
    </row>
    <row r="38" spans="1:6" ht="21.95" customHeight="1" thickBot="1">
      <c r="A38" s="71"/>
      <c r="B38" s="10" t="s">
        <v>114</v>
      </c>
      <c r="D38" s="11" t="s">
        <v>136</v>
      </c>
    </row>
    <row r="39" spans="1:6" ht="21.95" customHeight="1" thickBot="1">
      <c r="A39" s="72" t="s">
        <v>36</v>
      </c>
      <c r="B39" s="13" t="s">
        <v>136</v>
      </c>
      <c r="C39" s="11" t="s">
        <v>136</v>
      </c>
    </row>
    <row r="40" spans="1:6" ht="21.95" customHeight="1" thickBot="1">
      <c r="A40" s="71"/>
      <c r="B40" s="10" t="s">
        <v>123</v>
      </c>
    </row>
    <row r="41" spans="1:6" ht="21.95" customHeight="1"/>
    <row r="42" spans="1:6" ht="21.95" customHeight="1"/>
    <row r="43" spans="1:6" ht="21.95" customHeight="1"/>
    <row r="44" spans="1:6" ht="21.95" customHeight="1"/>
    <row r="45" spans="1:6" ht="21.95" customHeight="1"/>
    <row r="46" spans="1:6" ht="21.95" customHeight="1"/>
    <row r="47" spans="1:6" ht="21.95" customHeight="1"/>
  </sheetData>
  <mergeCells count="26">
    <mergeCell ref="A39:A40"/>
    <mergeCell ref="A19:A20"/>
    <mergeCell ref="E19:E21"/>
    <mergeCell ref="G19:G29"/>
    <mergeCell ref="A21:A22"/>
    <mergeCell ref="A23:A24"/>
    <mergeCell ref="A25:A26"/>
    <mergeCell ref="A27:A28"/>
    <mergeCell ref="E27:E29"/>
    <mergeCell ref="A29:A30"/>
    <mergeCell ref="F30:F34"/>
    <mergeCell ref="A31:A32"/>
    <mergeCell ref="A33:A34"/>
    <mergeCell ref="A35:A36"/>
    <mergeCell ref="E35:E37"/>
    <mergeCell ref="A37:A38"/>
    <mergeCell ref="A1:G1"/>
    <mergeCell ref="B3:D3"/>
    <mergeCell ref="A8:B8"/>
    <mergeCell ref="A9:A10"/>
    <mergeCell ref="A11:A12"/>
    <mergeCell ref="E11:E13"/>
    <mergeCell ref="A13:A14"/>
    <mergeCell ref="F14:F18"/>
    <mergeCell ref="A15:A16"/>
    <mergeCell ref="A17:A18"/>
  </mergeCells>
  <conditionalFormatting sqref="B9 B13:B16 B21:B22 B25:B27 B29 B33 B35 B37">
    <cfRule type="duplicateValues" dxfId="19" priority="10"/>
  </conditionalFormatting>
  <conditionalFormatting sqref="B10">
    <cfRule type="duplicateValues" dxfId="18" priority="9"/>
  </conditionalFormatting>
  <conditionalFormatting sqref="B11:B12">
    <cfRule type="duplicateValues" dxfId="17" priority="8"/>
  </conditionalFormatting>
  <conditionalFormatting sqref="B17:B20">
    <cfRule type="duplicateValues" dxfId="16" priority="7"/>
  </conditionalFormatting>
  <conditionalFormatting sqref="B23:B24">
    <cfRule type="duplicateValues" dxfId="15" priority="6"/>
  </conditionalFormatting>
  <conditionalFormatting sqref="B28">
    <cfRule type="duplicateValues" dxfId="14" priority="5"/>
  </conditionalFormatting>
  <conditionalFormatting sqref="B30:B32">
    <cfRule type="duplicateValues" dxfId="13" priority="4"/>
  </conditionalFormatting>
  <conditionalFormatting sqref="B34">
    <cfRule type="duplicateValues" dxfId="12" priority="3"/>
  </conditionalFormatting>
  <conditionalFormatting sqref="B36">
    <cfRule type="duplicateValues" dxfId="11" priority="2"/>
  </conditionalFormatting>
  <conditionalFormatting sqref="B38:B40">
    <cfRule type="duplicateValues" dxfId="10" priority="1"/>
  </conditionalFormatting>
  <dataValidations count="31">
    <dataValidation type="list" sqref="C9" xr:uid="{B0005913-F7DB-4CE2-BCAE-094067E107F3}">
      <formula1>$B$9:$B$10</formula1>
    </dataValidation>
    <dataValidation type="list" sqref="C11" xr:uid="{EA20BB18-66BD-4F9A-AAA3-BCE7A4CA1332}">
      <formula1>$B$11:$B$12</formula1>
    </dataValidation>
    <dataValidation type="list" sqref="C13" xr:uid="{890EB263-CF3B-4B2C-A7E2-EDB698E85896}">
      <formula1>$B$13:$B$14</formula1>
    </dataValidation>
    <dataValidation type="list" sqref="C15" xr:uid="{B9D96594-BA70-41E2-BFB4-EBD3D014DC50}">
      <formula1>$B$15:$B$16</formula1>
    </dataValidation>
    <dataValidation type="list" sqref="C17" xr:uid="{73C46FE4-D438-4CC8-9AD1-0FA26884BE4D}">
      <formula1>$B$17:$B$18</formula1>
    </dataValidation>
    <dataValidation type="list" sqref="C19" xr:uid="{1D7EDE28-A2D7-498E-80AA-35F19314DB27}">
      <formula1>$B$19:$B$20</formula1>
    </dataValidation>
    <dataValidation type="list" sqref="C21" xr:uid="{0A12100D-F7D5-4517-BCA1-528A8EFD4EF0}">
      <formula1>$B$21:$B$22</formula1>
    </dataValidation>
    <dataValidation type="list" sqref="C23" xr:uid="{920371C1-0DE5-4A59-9343-98A807B0BAE4}">
      <formula1>$B$23:$B$24</formula1>
    </dataValidation>
    <dataValidation type="list" sqref="C25" xr:uid="{BF9ED806-1630-49DC-9280-2F23B835A138}">
      <formula1>$B$25:$B$26</formula1>
    </dataValidation>
    <dataValidation type="list" sqref="C27" xr:uid="{C4E2A7A0-DBDD-4C67-B303-652A1DE09066}">
      <formula1>$B$27:$B$28</formula1>
    </dataValidation>
    <dataValidation type="list" sqref="C29" xr:uid="{A512A95A-2A51-4794-A6C6-7CBA8F252ECD}">
      <formula1>$B$29:$B$30</formula1>
    </dataValidation>
    <dataValidation type="list" sqref="C31" xr:uid="{89F94F43-FD1A-417D-83AA-AD9E62467210}">
      <formula1>$B$31:$B$32</formula1>
    </dataValidation>
    <dataValidation type="list" sqref="C33" xr:uid="{533587D2-EDCB-4620-8316-DA74E71C5B70}">
      <formula1>$B$33:$B$34</formula1>
    </dataValidation>
    <dataValidation type="list" sqref="C35" xr:uid="{81A9765A-0F84-43D5-BA48-9E385E79163A}">
      <formula1>$B$35:$B$36</formula1>
    </dataValidation>
    <dataValidation type="list" sqref="C37" xr:uid="{63948D4F-EACE-47FB-87DF-32B16EBE7A4F}">
      <formula1>$B$37:$B$38</formula1>
    </dataValidation>
    <dataValidation type="list" sqref="C39" xr:uid="{5FF6C473-8D10-4009-959D-9E4ED2C59E83}">
      <formula1>$B$39:$B$40</formula1>
    </dataValidation>
    <dataValidation type="list" sqref="D10" xr:uid="{B372FA7D-7AD9-47AA-844F-664BB6A65538}">
      <formula1>$C$9:$C$11</formula1>
    </dataValidation>
    <dataValidation type="list" sqref="D14" xr:uid="{8A27BF6B-4CF1-4057-B228-F9E4B6459365}">
      <formula1>$C$13:$C$15</formula1>
    </dataValidation>
    <dataValidation type="list" sqref="D18" xr:uid="{AC6986EF-3769-4C16-8956-44C6400FBD6D}">
      <formula1>$C$17:$C$19</formula1>
    </dataValidation>
    <dataValidation type="list" sqref="D22" xr:uid="{F589CDDF-9453-456C-8D2D-555AB0914133}">
      <formula1>$C$21:$C$23</formula1>
    </dataValidation>
    <dataValidation type="list" sqref="D26" xr:uid="{B9429838-3D88-4A17-BFD9-22DD9AE7CB97}">
      <formula1>$C$25:$C$27</formula1>
    </dataValidation>
    <dataValidation type="list" sqref="D30" xr:uid="{55F5BDD3-F632-4356-AB3D-4FE025DE6417}">
      <formula1>$C$29:$C$31</formula1>
    </dataValidation>
    <dataValidation type="list" sqref="D34" xr:uid="{75AD9657-231D-404B-92C7-B6E4917C7C5A}">
      <formula1>$C$33:$C$35</formula1>
    </dataValidation>
    <dataValidation type="list" sqref="D38" xr:uid="{0A2D7E9D-C2F6-447A-93E7-8D6AD4852ADB}">
      <formula1>$C$37:$C$39</formula1>
    </dataValidation>
    <dataValidation type="list" sqref="E11" xr:uid="{9D11F42B-A63C-4122-9946-FFF7846439FF}">
      <formula1>$D$10:$D$14</formula1>
    </dataValidation>
    <dataValidation type="list" sqref="E19" xr:uid="{2079DF69-3DE8-46EE-8AAE-C1F5F6E014DC}">
      <formula1>$D$18:$D$22</formula1>
    </dataValidation>
    <dataValidation type="list" sqref="E27" xr:uid="{0D9CC0E6-1A97-4660-8A0F-A2633F94B5A0}">
      <formula1>$D$26:$D$30</formula1>
    </dataValidation>
    <dataValidation type="list" sqref="E35" xr:uid="{0B7BA9D7-5FFF-4E46-BF53-9DDB424A1B2D}">
      <formula1>$D$34:$D$38</formula1>
    </dataValidation>
    <dataValidation type="list" sqref="F14" xr:uid="{8FC1246B-83C4-4880-8486-2C7A921F63AB}">
      <formula1>$E$11:$E$19</formula1>
    </dataValidation>
    <dataValidation type="list" sqref="F30" xr:uid="{53C59E64-6E6A-4019-95FF-68A0A784B728}">
      <formula1>$E$27:$E$35</formula1>
    </dataValidation>
    <dataValidation type="list" sqref="G19" xr:uid="{81F21631-BC4D-46D6-9163-8CA2A132339A}">
      <formula1>$F$14:$F$30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C49F-C8F7-4763-8344-6B6D19DD136E}">
  <dimension ref="A1:G47"/>
  <sheetViews>
    <sheetView showGridLines="0" zoomScale="85" zoomScaleNormal="85" workbookViewId="0">
      <selection activeCell="D134" sqref="D134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2.15" customHeight="1">
      <c r="A1" s="64" t="s">
        <v>0</v>
      </c>
      <c r="B1" s="64"/>
      <c r="C1" s="64"/>
      <c r="D1" s="64"/>
      <c r="E1" s="64"/>
      <c r="F1" s="64"/>
      <c r="G1" s="64"/>
    </row>
    <row r="2" spans="1:7" ht="22.15" customHeight="1" thickBot="1">
      <c r="A2" s="1" t="s">
        <v>1</v>
      </c>
    </row>
    <row r="3" spans="1:7" ht="22.15" customHeight="1" thickBot="1">
      <c r="A3" s="2" t="s">
        <v>219</v>
      </c>
      <c r="B3" s="65" t="s">
        <v>231</v>
      </c>
      <c r="C3" s="66"/>
      <c r="D3" s="67"/>
      <c r="E3" s="2" t="s">
        <v>2</v>
      </c>
      <c r="F3" s="14">
        <f>SUM(B4:F4)</f>
        <v>3.2</v>
      </c>
    </row>
    <row r="4" spans="1:7" ht="22.15" customHeight="1" thickBot="1">
      <c r="A4" s="2" t="s">
        <v>38</v>
      </c>
      <c r="B4" s="22">
        <f>IF(B5=SUM([3]Results!F2:F17),1,1-ABS((B5-SUM([3]Results!F2:F17))*0.1))+IF('Joey Hoke'!C9=[3]Results!E2,[3]Results!G2,0)+IF('Joey Hoke'!C11=[3]Results!E3,[3]Results!G3,0)+IF('Joey Hoke'!C13=[3]Results!E4,[3]Results!G4,0)+IF('Joey Hoke'!C15=[3]Results!E5,[3]Results!G5,0)+IF('Joey Hoke'!C17=[3]Results!E6,[3]Results!G6,0)+IF('Joey Hoke'!C19=[3]Results!E7,[3]Results!G7,0)+IF('Joey Hoke'!C21=[3]Results!E8,[3]Results!G8,0)+IF('Joey Hoke'!C23=[3]Results!E9,[3]Results!G9,0)+IF('Joey Hoke'!C25=[3]Results!E10,[3]Results!G10,0)+IF('Joey Hoke'!C27=[3]Results!E11,[3]Results!G11,0)+IF('Joey Hoke'!C29=[3]Results!E12,[3]Results!G12,0)+IF('Joey Hoke'!C31=[3]Results!E13,[3]Results!G13,0)+IF('Joey Hoke'!C33=[3]Results!E14,[3]Results!G14,0)+IF('Joey Hoke'!C35=[3]Results!E15,[3]Results!G15,0)+IF('Joey Hoke'!C37=[3]Results!E16,[3]Results!G16,0)+IF('Joey Hoke'!C39=[3]Results!E17,[3]Results!G17,0)</f>
        <v>0</v>
      </c>
      <c r="C4" s="23">
        <f>IF(C5=SUM([3]Results!F18:F25),1,1-ABS((C5-SUM([3]Results!F18:F25))*0.1))+IF('Joey Hoke'!D10=[3]Results!E18,[3]Results!G18,0)+IF('Joey Hoke'!D14=[3]Results!E19,[3]Results!G19,0)+IF('Joey Hoke'!D18=[3]Results!E20,[3]Results!G20,0)+IF('Joey Hoke'!D22=[3]Results!E21,[3]Results!G21,0)+IF('Joey Hoke'!D26=[3]Results!E22,[3]Results!G22,0)+IF('Joey Hoke'!D30=[3]Results!E23,[3]Results!G23,0)+IF('Joey Hoke'!D34=[3]Results!E24,[3]Results!G24,0)+IF('Joey Hoke'!D38=[3]Results!E25,[3]Results!G25,0)</f>
        <v>0.5</v>
      </c>
      <c r="D4" s="24">
        <f>IF(D5=SUM([3]Results!F26:F29),1,1-ABS((D5-SUM([3]Results!F26:F29))*0.1))+IF(E11=[3]Results!E26,[3]Results!G26,0)+IF('Joey Hoke'!E19=[3]Results!E27,[3]Results!G27,0)+IF('Joey Hoke'!E27=[3]Results!E28,[3]Results!G28,0)+IF('Joey Hoke'!E35=[3]Results!E29,[3]Results!G29,0)</f>
        <v>0.7</v>
      </c>
      <c r="E4" s="23">
        <f>IF(E5=SUM([3]Results!F30:F31),1,1-ABS((E5-SUM([3]Results!F30:F31))*0.1))+IF('Joey Hoke'!F14=[3]Results!E30,[3]Results!G30,0)+IF('Joey Hoke'!F30=[3]Results!E31,[3]Results!G31,0)</f>
        <v>1</v>
      </c>
      <c r="F4" s="25">
        <f>IF(F5=SUM([3]Results!F32),1,1-ABS((F5-SUM([3]Results!F32))*0.1))+IF(G19=[3]Results!E32,[3]Results!G32,0)</f>
        <v>1</v>
      </c>
    </row>
    <row r="5" spans="1:7" ht="22.15" customHeight="1" thickBot="1">
      <c r="A5" s="2" t="s">
        <v>228</v>
      </c>
      <c r="B5" s="19">
        <v>86</v>
      </c>
      <c r="C5" s="17">
        <v>43</v>
      </c>
      <c r="D5" s="20">
        <v>21</v>
      </c>
      <c r="E5" s="17">
        <v>12</v>
      </c>
      <c r="F5" s="18">
        <v>6</v>
      </c>
    </row>
    <row r="6" spans="1:7" ht="22.15" customHeight="1"/>
    <row r="7" spans="1:7" ht="22.15" customHeight="1" thickBot="1"/>
    <row r="8" spans="1:7" ht="22.15" customHeight="1" thickBot="1">
      <c r="A8" s="68" t="s">
        <v>3</v>
      </c>
      <c r="B8" s="69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15" customHeight="1" thickBot="1">
      <c r="A9" s="70" t="s">
        <v>6</v>
      </c>
      <c r="B9" s="21" t="s">
        <v>51</v>
      </c>
      <c r="C9" s="11" t="s">
        <v>51</v>
      </c>
    </row>
    <row r="10" spans="1:7" ht="22.15" customHeight="1" thickBot="1">
      <c r="A10" s="71"/>
      <c r="B10" s="4" t="s">
        <v>106</v>
      </c>
      <c r="D10" s="11" t="s">
        <v>86</v>
      </c>
    </row>
    <row r="11" spans="1:7" ht="22.15" customHeight="1" thickBot="1">
      <c r="A11" s="72" t="s">
        <v>8</v>
      </c>
      <c r="B11" s="12" t="s">
        <v>86</v>
      </c>
      <c r="C11" s="11" t="s">
        <v>86</v>
      </c>
      <c r="E11" s="73" t="s">
        <v>86</v>
      </c>
    </row>
    <row r="12" spans="1:7" ht="22.15" customHeight="1" thickBot="1">
      <c r="A12" s="71"/>
      <c r="B12" s="4" t="s">
        <v>94</v>
      </c>
      <c r="E12" s="74"/>
    </row>
    <row r="13" spans="1:7" ht="22.15" customHeight="1" thickBot="1">
      <c r="A13" s="72" t="s">
        <v>10</v>
      </c>
      <c r="B13" s="21" t="s">
        <v>44</v>
      </c>
      <c r="C13" s="11" t="s">
        <v>46</v>
      </c>
      <c r="E13" s="75"/>
    </row>
    <row r="14" spans="1:7" ht="22.15" customHeight="1" thickBot="1">
      <c r="A14" s="71"/>
      <c r="B14" s="21" t="s">
        <v>46</v>
      </c>
      <c r="D14" s="11" t="s">
        <v>85</v>
      </c>
      <c r="F14" s="73" t="s">
        <v>86</v>
      </c>
    </row>
    <row r="15" spans="1:7" ht="22.15" customHeight="1" thickBot="1">
      <c r="A15" s="72" t="s">
        <v>12</v>
      </c>
      <c r="B15" s="21" t="str">
        <f>[3]Results!C5</f>
        <v>Netherlands</v>
      </c>
      <c r="C15" s="11" t="s">
        <v>85</v>
      </c>
      <c r="F15" s="74"/>
    </row>
    <row r="16" spans="1:7" ht="22.15" customHeight="1" thickBot="1">
      <c r="A16" s="71"/>
      <c r="B16" s="21" t="s">
        <v>49</v>
      </c>
      <c r="F16" s="74"/>
    </row>
    <row r="17" spans="1:7" ht="22.15" customHeight="1" thickBot="1">
      <c r="A17" s="72" t="s">
        <v>14</v>
      </c>
      <c r="B17" s="12" t="s">
        <v>125</v>
      </c>
      <c r="C17" s="11" t="s">
        <v>123</v>
      </c>
      <c r="F17" s="74"/>
    </row>
    <row r="18" spans="1:7" ht="22.15" customHeight="1" thickBot="1">
      <c r="A18" s="71"/>
      <c r="B18" s="4" t="s">
        <v>123</v>
      </c>
      <c r="D18" s="11" t="s">
        <v>123</v>
      </c>
      <c r="F18" s="75"/>
    </row>
    <row r="19" spans="1:7" ht="22.15" customHeight="1" thickBot="1">
      <c r="A19" s="72" t="s">
        <v>16</v>
      </c>
      <c r="B19" s="12" t="s">
        <v>137</v>
      </c>
      <c r="C19" s="11" t="s">
        <v>137</v>
      </c>
      <c r="E19" s="73" t="s">
        <v>50</v>
      </c>
      <c r="G19" s="73" t="s">
        <v>86</v>
      </c>
    </row>
    <row r="20" spans="1:7" ht="22.15" customHeight="1" thickBot="1">
      <c r="A20" s="71"/>
      <c r="B20" s="4" t="s">
        <v>114</v>
      </c>
      <c r="E20" s="74"/>
      <c r="G20" s="74"/>
    </row>
    <row r="21" spans="1:7" ht="22.15" customHeight="1" thickBot="1">
      <c r="A21" s="72" t="s">
        <v>18</v>
      </c>
      <c r="B21" s="21" t="s">
        <v>50</v>
      </c>
      <c r="C21" s="11" t="s">
        <v>50</v>
      </c>
      <c r="E21" s="75"/>
      <c r="G21" s="74"/>
    </row>
    <row r="22" spans="1:7" ht="22.15" customHeight="1" thickBot="1">
      <c r="A22" s="71"/>
      <c r="B22" s="21" t="str">
        <f>[3]Results!D8</f>
        <v>Bosnia and Herzegovina</v>
      </c>
      <c r="D22" s="11" t="s">
        <v>50</v>
      </c>
      <c r="G22" s="74"/>
    </row>
    <row r="23" spans="1:7" ht="22.15" customHeight="1" thickBot="1">
      <c r="A23" s="72" t="s">
        <v>20</v>
      </c>
      <c r="B23" s="12" t="s">
        <v>124</v>
      </c>
      <c r="C23" s="11" t="s">
        <v>105</v>
      </c>
      <c r="G23" s="74"/>
    </row>
    <row r="24" spans="1:7" ht="22.15" customHeight="1" thickBot="1">
      <c r="A24" s="71"/>
      <c r="B24" s="4" t="s">
        <v>105</v>
      </c>
      <c r="G24" s="74"/>
    </row>
    <row r="25" spans="1:7" ht="22.15" customHeight="1" thickBot="1">
      <c r="A25" s="72" t="s">
        <v>22</v>
      </c>
      <c r="B25" s="21" t="s">
        <v>48</v>
      </c>
      <c r="C25" s="11" t="s">
        <v>48</v>
      </c>
      <c r="G25" s="74"/>
    </row>
    <row r="26" spans="1:7" ht="22.15" customHeight="1" thickBot="1">
      <c r="A26" s="71"/>
      <c r="B26" s="21" t="str">
        <f>[3]Results!D10</f>
        <v>Japan</v>
      </c>
      <c r="D26" s="11" t="s">
        <v>48</v>
      </c>
      <c r="G26" s="74"/>
    </row>
    <row r="27" spans="1:7" ht="22.15" customHeight="1" thickBot="1">
      <c r="A27" s="72" t="s">
        <v>24</v>
      </c>
      <c r="B27" s="21" t="s">
        <v>88</v>
      </c>
      <c r="C27" s="11" t="s">
        <v>107</v>
      </c>
      <c r="E27" s="73" t="s">
        <v>48</v>
      </c>
      <c r="G27" s="74"/>
    </row>
    <row r="28" spans="1:7" ht="22.15" customHeight="1" thickBot="1">
      <c r="A28" s="71"/>
      <c r="B28" s="9" t="s">
        <v>107</v>
      </c>
      <c r="E28" s="74"/>
      <c r="G28" s="74"/>
    </row>
    <row r="29" spans="1:7" ht="22.15" customHeight="1" thickBot="1">
      <c r="A29" s="72" t="s">
        <v>26</v>
      </c>
      <c r="B29" s="21" t="s">
        <v>43</v>
      </c>
      <c r="C29" s="11" t="s">
        <v>43</v>
      </c>
      <c r="E29" s="75"/>
      <c r="G29" s="75"/>
    </row>
    <row r="30" spans="1:7" ht="22.15" customHeight="1" thickBot="1">
      <c r="A30" s="71"/>
      <c r="B30" s="10" t="s">
        <v>126</v>
      </c>
      <c r="D30" s="11" t="s">
        <v>43</v>
      </c>
      <c r="F30" s="73" t="s">
        <v>93</v>
      </c>
    </row>
    <row r="31" spans="1:7" ht="22.15" customHeight="1" thickBot="1">
      <c r="A31" s="72" t="s">
        <v>28</v>
      </c>
      <c r="B31" s="13" t="s">
        <v>89</v>
      </c>
      <c r="C31" s="11" t="s">
        <v>89</v>
      </c>
      <c r="F31" s="74"/>
    </row>
    <row r="32" spans="1:7" ht="22.15" customHeight="1" thickBot="1">
      <c r="A32" s="71"/>
      <c r="B32" s="10" t="s">
        <v>91</v>
      </c>
      <c r="F32" s="74"/>
    </row>
    <row r="33" spans="1:6" ht="22.15" customHeight="1" thickBot="1">
      <c r="A33" s="72" t="s">
        <v>30</v>
      </c>
      <c r="B33" s="21" t="s">
        <v>93</v>
      </c>
      <c r="C33" s="11" t="s">
        <v>93</v>
      </c>
      <c r="F33" s="74"/>
    </row>
    <row r="34" spans="1:6" ht="22.15" customHeight="1" thickBot="1">
      <c r="A34" s="71"/>
      <c r="B34" s="10" t="s">
        <v>113</v>
      </c>
      <c r="D34" s="11" t="s">
        <v>93</v>
      </c>
      <c r="F34" s="75"/>
    </row>
    <row r="35" spans="1:6" ht="22.15" customHeight="1" thickBot="1">
      <c r="A35" s="72" t="s">
        <v>32</v>
      </c>
      <c r="B35" s="21" t="str">
        <f>[3]Results!C15</f>
        <v>Australia</v>
      </c>
      <c r="C35" s="11" t="s">
        <v>115</v>
      </c>
      <c r="E35" s="73" t="s">
        <v>93</v>
      </c>
    </row>
    <row r="36" spans="1:6" ht="22.15" customHeight="1" thickBot="1">
      <c r="A36" s="71"/>
      <c r="B36" s="10" t="s">
        <v>111</v>
      </c>
      <c r="E36" s="74"/>
    </row>
    <row r="37" spans="1:6" ht="22.15" customHeight="1" thickBot="1">
      <c r="A37" s="72" t="s">
        <v>34</v>
      </c>
      <c r="B37" s="21" t="s">
        <v>45</v>
      </c>
      <c r="C37" s="11" t="s">
        <v>45</v>
      </c>
      <c r="E37" s="75"/>
    </row>
    <row r="38" spans="1:6" ht="22.15" customHeight="1" thickBot="1">
      <c r="A38" s="71"/>
      <c r="B38" s="10" t="s">
        <v>109</v>
      </c>
      <c r="D38" s="11" t="s">
        <v>45</v>
      </c>
    </row>
    <row r="39" spans="1:6" ht="22.15" customHeight="1" thickBot="1">
      <c r="A39" s="72" t="s">
        <v>36</v>
      </c>
      <c r="B39" s="13" t="s">
        <v>112</v>
      </c>
      <c r="C39" s="11" t="s">
        <v>133</v>
      </c>
    </row>
    <row r="40" spans="1:6" ht="22.15" customHeight="1" thickBot="1">
      <c r="A40" s="71"/>
      <c r="B40" s="10" t="s">
        <v>133</v>
      </c>
    </row>
    <row r="41" spans="1:6" ht="22.15" customHeight="1"/>
    <row r="42" spans="1:6" ht="22.15" customHeight="1"/>
    <row r="43" spans="1:6" ht="22.15" customHeight="1"/>
    <row r="44" spans="1:6" ht="22.15" customHeight="1"/>
    <row r="45" spans="1:6" ht="22.15" customHeight="1"/>
    <row r="46" spans="1:6" ht="22.15" customHeight="1"/>
    <row r="47" spans="1:6" ht="22.15" customHeight="1"/>
  </sheetData>
  <mergeCells count="26">
    <mergeCell ref="A39:A40"/>
    <mergeCell ref="A19:A20"/>
    <mergeCell ref="E19:E21"/>
    <mergeCell ref="G19:G29"/>
    <mergeCell ref="A21:A22"/>
    <mergeCell ref="A23:A24"/>
    <mergeCell ref="A25:A26"/>
    <mergeCell ref="A27:A28"/>
    <mergeCell ref="E27:E29"/>
    <mergeCell ref="A29:A30"/>
    <mergeCell ref="F30:F34"/>
    <mergeCell ref="A31:A32"/>
    <mergeCell ref="A33:A34"/>
    <mergeCell ref="A35:A36"/>
    <mergeCell ref="E35:E37"/>
    <mergeCell ref="A37:A38"/>
    <mergeCell ref="A1:G1"/>
    <mergeCell ref="B3:D3"/>
    <mergeCell ref="A8:B8"/>
    <mergeCell ref="A9:A10"/>
    <mergeCell ref="A11:A12"/>
    <mergeCell ref="E11:E13"/>
    <mergeCell ref="A13:A14"/>
    <mergeCell ref="F14:F18"/>
    <mergeCell ref="A15:A16"/>
    <mergeCell ref="A17:A18"/>
  </mergeCells>
  <conditionalFormatting sqref="B9 B13:B16 B21:B22 B25:B27 B29 B33 B35 B37">
    <cfRule type="duplicateValues" dxfId="9" priority="10"/>
  </conditionalFormatting>
  <conditionalFormatting sqref="B10">
    <cfRule type="duplicateValues" dxfId="8" priority="9"/>
  </conditionalFormatting>
  <conditionalFormatting sqref="B11:B12">
    <cfRule type="duplicateValues" dxfId="7" priority="8"/>
  </conditionalFormatting>
  <conditionalFormatting sqref="B17:B20">
    <cfRule type="duplicateValues" dxfId="6" priority="7"/>
  </conditionalFormatting>
  <conditionalFormatting sqref="B23:B24">
    <cfRule type="duplicateValues" dxfId="5" priority="6"/>
  </conditionalFormatting>
  <conditionalFormatting sqref="B28">
    <cfRule type="duplicateValues" dxfId="4" priority="5"/>
  </conditionalFormatting>
  <conditionalFormatting sqref="B30:B32">
    <cfRule type="duplicateValues" dxfId="3" priority="4"/>
  </conditionalFormatting>
  <conditionalFormatting sqref="B34">
    <cfRule type="duplicateValues" dxfId="2" priority="3"/>
  </conditionalFormatting>
  <conditionalFormatting sqref="B36">
    <cfRule type="duplicateValues" dxfId="1" priority="2"/>
  </conditionalFormatting>
  <conditionalFormatting sqref="B38:B40">
    <cfRule type="duplicateValues" dxfId="0" priority="1"/>
  </conditionalFormatting>
  <dataValidations count="31">
    <dataValidation type="list" sqref="C9" xr:uid="{FBCA252C-73CE-427F-8F60-9EF6034F2C06}">
      <formula1>$B$9:$B$10</formula1>
    </dataValidation>
    <dataValidation type="list" sqref="C11" xr:uid="{F73878B8-52E0-4835-A82D-54CB67F5DF77}">
      <formula1>$B$11:$B$12</formula1>
    </dataValidation>
    <dataValidation type="list" sqref="C13" xr:uid="{B34C8360-C55B-4060-8D91-B5E6C107596E}">
      <formula1>$B$13:$B$14</formula1>
    </dataValidation>
    <dataValidation type="list" sqref="C15" xr:uid="{2404B315-56C0-44AF-AD2C-65746E7F4D4C}">
      <formula1>$B$15:$B$16</formula1>
    </dataValidation>
    <dataValidation type="list" sqref="C17" xr:uid="{FBFB66B6-4A2F-40A5-B681-1F9728046F41}">
      <formula1>$B$17:$B$18</formula1>
    </dataValidation>
    <dataValidation type="list" sqref="C19" xr:uid="{74506724-B38A-476C-810A-7F59830D2AB3}">
      <formula1>$B$19:$B$20</formula1>
    </dataValidation>
    <dataValidation type="list" sqref="C21" xr:uid="{C88DAA33-A0F9-412A-AD8E-34C205013FB9}">
      <formula1>$B$21:$B$22</formula1>
    </dataValidation>
    <dataValidation type="list" sqref="C23" xr:uid="{C356C2A4-67F0-4799-B07D-5556FCAF7613}">
      <formula1>$B$23:$B$24</formula1>
    </dataValidation>
    <dataValidation type="list" sqref="C25" xr:uid="{1FEE11F3-F913-47F4-B5EE-0A39716866DC}">
      <formula1>$B$25:$B$26</formula1>
    </dataValidation>
    <dataValidation type="list" sqref="C27" xr:uid="{CC4B4F6F-178C-4981-A73B-017242171561}">
      <formula1>$B$27:$B$28</formula1>
    </dataValidation>
    <dataValidation type="list" sqref="C29" xr:uid="{26C68DB4-F0D3-45FD-9784-B0D520C2BC60}">
      <formula1>$B$29:$B$30</formula1>
    </dataValidation>
    <dataValidation type="list" sqref="C31" xr:uid="{BAF8E051-10AE-4F28-B697-EFFAE45C1518}">
      <formula1>$B$31:$B$32</formula1>
    </dataValidation>
    <dataValidation type="list" sqref="C33" xr:uid="{611CE155-CD81-4D10-AD6D-914FB4BB9615}">
      <formula1>$B$33:$B$34</formula1>
    </dataValidation>
    <dataValidation type="list" sqref="C35" xr:uid="{931145A9-549A-4B9E-8992-9D4DFE0FDE50}">
      <formula1>$B$35:$B$36</formula1>
    </dataValidation>
    <dataValidation type="list" sqref="C37" xr:uid="{E7B077B2-AAE8-416D-BB30-E286D0B115F2}">
      <formula1>$B$37:$B$38</formula1>
    </dataValidation>
    <dataValidation type="list" sqref="C39" xr:uid="{38FB7DD2-4F31-4BC1-BA30-8226CF34C8E6}">
      <formula1>$B$39:$B$40</formula1>
    </dataValidation>
    <dataValidation type="list" sqref="D10" xr:uid="{00A3F3E8-0F39-4F15-AA14-B37E03B74B82}">
      <formula1>$C$9:$C$11</formula1>
    </dataValidation>
    <dataValidation type="list" sqref="D14" xr:uid="{A5FBE80A-4028-4481-B992-10738FF1DE3C}">
      <formula1>$C$13:$C$15</formula1>
    </dataValidation>
    <dataValidation type="list" sqref="D18" xr:uid="{EA42A2F0-647E-435B-B91B-CDEC2FE86D2B}">
      <formula1>$C$17:$C$19</formula1>
    </dataValidation>
    <dataValidation type="list" sqref="D22" xr:uid="{449BCA91-5427-487B-8FC4-CF5DEE7E09F9}">
      <formula1>$C$21:$C$23</formula1>
    </dataValidation>
    <dataValidation type="list" sqref="D26" xr:uid="{08BBCEBF-51C3-4516-8F86-2CC3290AD6EF}">
      <formula1>$C$25:$C$27</formula1>
    </dataValidation>
    <dataValidation type="list" sqref="D30" xr:uid="{BF2F39CB-75B5-42F4-A220-62B86CAF9FAB}">
      <formula1>$C$29:$C$31</formula1>
    </dataValidation>
    <dataValidation type="list" sqref="D34" xr:uid="{F3BA23E9-D7CB-4C9A-AB0C-C60C5D83C899}">
      <formula1>$C$33:$C$35</formula1>
    </dataValidation>
    <dataValidation type="list" sqref="D38" xr:uid="{DC4ABA0B-181F-44D1-AC2F-15813E63AE4F}">
      <formula1>$C$37:$C$39</formula1>
    </dataValidation>
    <dataValidation type="list" sqref="E11" xr:uid="{E9E81A2D-FC10-44B5-96E8-576418983795}">
      <formula1>$D$10:$D$14</formula1>
    </dataValidation>
    <dataValidation type="list" sqref="E19" xr:uid="{251C04FB-CC81-4F88-8A85-F99421ECF0B9}">
      <formula1>$D$18:$D$22</formula1>
    </dataValidation>
    <dataValidation type="list" sqref="E27" xr:uid="{E54A41DA-AB36-4133-8505-1E3DDFC1C2AD}">
      <formula1>$D$26:$D$30</formula1>
    </dataValidation>
    <dataValidation type="list" sqref="E35" xr:uid="{BE878444-EF07-4E6A-8814-CDF40071623C}">
      <formula1>$D$34:$D$38</formula1>
    </dataValidation>
    <dataValidation type="list" sqref="F14" xr:uid="{C644808A-1E41-490F-AB6D-D59E3236B1BF}">
      <formula1>$E$11:$E$19</formula1>
    </dataValidation>
    <dataValidation type="list" sqref="F30" xr:uid="{F1D7E98E-DD84-4114-BB20-D9CC8C9388ED}">
      <formula1>$E$27:$E$35</formula1>
    </dataValidation>
    <dataValidation type="list" sqref="G19" xr:uid="{50274725-B9AB-4968-952A-FD358F3C6403}">
      <formula1>$F$14:$F$30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FCDE-C436-400F-BB64-607B70CFE4C1}">
  <dimension ref="A1:G100"/>
  <sheetViews>
    <sheetView showGridLines="0" tabSelected="1" workbookViewId="0">
      <selection activeCell="D20" sqref="D20"/>
    </sheetView>
  </sheetViews>
  <sheetFormatPr defaultColWidth="12.875" defaultRowHeight="15" customHeight="1"/>
  <cols>
    <col min="1" max="1" width="11.875" style="31" customWidth="1"/>
    <col min="2" max="3" width="20.75" style="31" customWidth="1"/>
    <col min="4" max="4" width="19.75" style="31" customWidth="1"/>
    <col min="5" max="5" width="21.75" style="31" customWidth="1"/>
    <col min="6" max="6" width="22.75" style="31" customWidth="1"/>
    <col min="7" max="7" width="21.625" style="31" customWidth="1"/>
    <col min="8" max="11" width="7.875" style="31" customWidth="1"/>
    <col min="12" max="16384" width="12.875" style="31"/>
  </cols>
  <sheetData>
    <row r="1" spans="1:7" ht="21.75" customHeight="1">
      <c r="A1" s="56" t="s">
        <v>0</v>
      </c>
      <c r="B1" s="57"/>
      <c r="C1" s="57"/>
      <c r="D1" s="57"/>
      <c r="E1" s="57"/>
      <c r="F1" s="57"/>
      <c r="G1" s="57"/>
    </row>
    <row r="2" spans="1:7" ht="21.75" customHeight="1" thickBot="1">
      <c r="A2" s="32" t="s">
        <v>1</v>
      </c>
    </row>
    <row r="3" spans="1:7" ht="21.75" customHeight="1" thickBot="1">
      <c r="A3" s="33" t="s">
        <v>219</v>
      </c>
      <c r="B3" s="58" t="s">
        <v>232</v>
      </c>
      <c r="C3" s="59"/>
      <c r="D3" s="60"/>
      <c r="E3" s="33" t="s">
        <v>2</v>
      </c>
      <c r="F3" s="34">
        <f>SUM(B4:F4)</f>
        <v>3.8000000000000003</v>
      </c>
    </row>
    <row r="4" spans="1:7" ht="21.75" customHeight="1" thickBot="1">
      <c r="A4" s="33" t="s">
        <v>38</v>
      </c>
      <c r="B4" s="35">
        <f>IF(B5=SUM([1]Results!F2:F17),1,1-ABS((B5-SUM([1]Results!F2:F17))*0.1))+IF('Kingsley Dunkley'!C9=[1]Results!E2,[1]Results!G2,0)+IF('Kingsley Dunkley'!C11=[1]Results!E3,[1]Results!G3,0)+IF('Kingsley Dunkley'!C13=[1]Results!E4,[1]Results!G4,0)+IF('Kingsley Dunkley'!C15=[1]Results!E5,[1]Results!G5,0)+IF('Kingsley Dunkley'!C17=[1]Results!E6,[1]Results!G6,0)+IF('Kingsley Dunkley'!C19=[1]Results!E7,[1]Results!G7,0)+IF('Kingsley Dunkley'!C21=[1]Results!E8,[1]Results!G8,0)+IF('Kingsley Dunkley'!C23=[1]Results!E9,[1]Results!G9,0)+IF('Kingsley Dunkley'!C25=[1]Results!E10,[1]Results!G10,0)+IF('Kingsley Dunkley'!C27=[1]Results!E11,[1]Results!G11,0)+IF('Kingsley Dunkley'!C29=[1]Results!E12,[1]Results!G12,0)+IF('Kingsley Dunkley'!C31=[1]Results!E13,[1]Results!G13,0)+IF('Kingsley Dunkley'!C33=[1]Results!E14,[1]Results!G14,0)+IF('Kingsley Dunkley'!C35=[1]Results!E15,[1]Results!G15,0)+IF('Kingsley Dunkley'!C37=[1]Results!E16,[1]Results!G16,0)+IF('Kingsley Dunkley'!C39=[1]Results!E17,[1]Results!G17,0)</f>
        <v>1</v>
      </c>
      <c r="C4" s="36">
        <f>IF(C5=SUM([1]Results!F18:F25),1,1-ABS((C5-SUM([1]Results!F18:F25))*0.1))+IF('Kingsley Dunkley'!D10=[1]Results!E18,[1]Results!G18,0)+IF('Kingsley Dunkley'!D14=[1]Results!E19,[1]Results!G19,0)+IF('Kingsley Dunkley'!D18=[1]Results!E20,[1]Results!G20,0)+IF('Kingsley Dunkley'!D22=[1]Results!E21,[1]Results!G21,0)+IF('Kingsley Dunkley'!D26=[1]Results!E22,[1]Results!G22,0)+IF('Kingsley Dunkley'!D30=[1]Results!E23,[1]Results!G23,0)+IF('Kingsley Dunkley'!D34=[1]Results!E24,[1]Results!G24,0)+IF('Kingsley Dunkley'!D38=[1]Results!E25,[1]Results!G25,0)</f>
        <v>0.6</v>
      </c>
      <c r="D4" s="37">
        <f>IF(D5=SUM([1]Results!F26:F29),1,1-ABS((D5-SUM([1]Results!F26:F29))*0.1))+IF(E11=[1]Results!E26,[1]Results!G26,0)+IF('Kingsley Dunkley'!E19=[1]Results!E27,[1]Results!G27,0)+IF('Kingsley Dunkley'!E27=[1]Results!E28,[1]Results!G28,0)+IF('Kingsley Dunkley'!E35=[1]Results!E29,[1]Results!G29,0)</f>
        <v>0.6</v>
      </c>
      <c r="E4" s="36">
        <f>IF(E5=SUM([1]Results!F30:F31),1,1-ABS((E5-SUM([1]Results!F30:F31))*0.1))+IF('Kingsley Dunkley'!F14=[1]Results!E30,[1]Results!G30,0)+IF('Kingsley Dunkley'!F30=[1]Results!E31,[1]Results!G31,0)</f>
        <v>0.6</v>
      </c>
      <c r="F4" s="38">
        <f>IF(F5=SUM([1]Results!F32),1,1-ABS((F5-SUM([1]Results!F32))*0.1))+IF(G19=[1]Results!E32,[1]Results!G32,0)</f>
        <v>1</v>
      </c>
    </row>
    <row r="5" spans="1:7" ht="21.75" customHeight="1" thickBot="1">
      <c r="A5" s="33" t="s">
        <v>228</v>
      </c>
      <c r="B5" s="39">
        <v>96</v>
      </c>
      <c r="C5" s="40">
        <v>44</v>
      </c>
      <c r="D5" s="41">
        <v>20</v>
      </c>
      <c r="E5" s="40">
        <v>8</v>
      </c>
      <c r="F5" s="42">
        <v>6</v>
      </c>
    </row>
    <row r="6" spans="1:7" ht="21.75" customHeight="1"/>
    <row r="7" spans="1:7" ht="21.75" customHeight="1" thickBot="1"/>
    <row r="8" spans="1:7" ht="21.75" customHeight="1" thickBot="1">
      <c r="A8" s="61" t="s">
        <v>3</v>
      </c>
      <c r="B8" s="62"/>
      <c r="C8" s="43" t="s">
        <v>4</v>
      </c>
      <c r="D8" s="43" t="s">
        <v>220</v>
      </c>
      <c r="E8" s="43" t="s">
        <v>221</v>
      </c>
      <c r="F8" s="43" t="s">
        <v>5</v>
      </c>
      <c r="G8" s="43" t="s">
        <v>223</v>
      </c>
    </row>
    <row r="9" spans="1:7" ht="21.75" customHeight="1" thickBot="1">
      <c r="A9" s="63" t="s">
        <v>6</v>
      </c>
      <c r="B9" s="44" t="s">
        <v>51</v>
      </c>
      <c r="C9" s="45" t="s">
        <v>51</v>
      </c>
    </row>
    <row r="10" spans="1:7" ht="21.75" customHeight="1" thickBot="1">
      <c r="A10" s="52"/>
      <c r="B10" s="46" t="s">
        <v>84</v>
      </c>
      <c r="D10" s="45" t="s">
        <v>86</v>
      </c>
    </row>
    <row r="11" spans="1:7" ht="21.75" customHeight="1" thickBot="1">
      <c r="A11" s="51" t="s">
        <v>8</v>
      </c>
      <c r="B11" s="47" t="s">
        <v>86</v>
      </c>
      <c r="C11" s="45" t="s">
        <v>86</v>
      </c>
      <c r="E11" s="53" t="s">
        <v>86</v>
      </c>
    </row>
    <row r="12" spans="1:7" ht="21.75" customHeight="1" thickBot="1">
      <c r="A12" s="52"/>
      <c r="B12" s="46" t="s">
        <v>120</v>
      </c>
      <c r="E12" s="54"/>
    </row>
    <row r="13" spans="1:7" ht="21.75" customHeight="1" thickBot="1">
      <c r="A13" s="51" t="s">
        <v>10</v>
      </c>
      <c r="B13" s="44" t="s">
        <v>44</v>
      </c>
      <c r="C13" s="45" t="s">
        <v>46</v>
      </c>
      <c r="E13" s="55"/>
    </row>
    <row r="14" spans="1:7" ht="21.75" customHeight="1" thickBot="1">
      <c r="A14" s="52"/>
      <c r="B14" s="44" t="s">
        <v>46</v>
      </c>
      <c r="D14" s="45" t="s">
        <v>85</v>
      </c>
      <c r="F14" s="53" t="s">
        <v>86</v>
      </c>
    </row>
    <row r="15" spans="1:7" ht="21.75" customHeight="1" thickBot="1">
      <c r="A15" s="51" t="s">
        <v>12</v>
      </c>
      <c r="B15" s="44" t="str">
        <f>[1]Results!C5</f>
        <v>Netherlands</v>
      </c>
      <c r="C15" s="45" t="s">
        <v>85</v>
      </c>
      <c r="F15" s="54"/>
    </row>
    <row r="16" spans="1:7" ht="21.75" customHeight="1" thickBot="1">
      <c r="A16" s="52"/>
      <c r="B16" s="44" t="s">
        <v>49</v>
      </c>
      <c r="F16" s="54"/>
    </row>
    <row r="17" spans="1:7" ht="21.75" customHeight="1" thickBot="1">
      <c r="A17" s="51" t="s">
        <v>14</v>
      </c>
      <c r="B17" s="47" t="s">
        <v>91</v>
      </c>
      <c r="C17" s="45" t="s">
        <v>123</v>
      </c>
      <c r="F17" s="54"/>
    </row>
    <row r="18" spans="1:7" ht="21.75" customHeight="1" thickBot="1">
      <c r="A18" s="52"/>
      <c r="B18" s="46" t="s">
        <v>123</v>
      </c>
      <c r="D18" s="45" t="s">
        <v>92</v>
      </c>
      <c r="F18" s="55"/>
    </row>
    <row r="19" spans="1:7" ht="21.75" customHeight="1" thickBot="1">
      <c r="A19" s="51" t="s">
        <v>16</v>
      </c>
      <c r="B19" s="47" t="s">
        <v>92</v>
      </c>
      <c r="C19" s="45" t="s">
        <v>92</v>
      </c>
      <c r="E19" s="53" t="s">
        <v>92</v>
      </c>
      <c r="G19" s="53" t="s">
        <v>86</v>
      </c>
    </row>
    <row r="20" spans="1:7" ht="21.75" customHeight="1" thickBot="1">
      <c r="A20" s="52"/>
      <c r="B20" s="46" t="s">
        <v>114</v>
      </c>
      <c r="E20" s="54"/>
      <c r="G20" s="54"/>
    </row>
    <row r="21" spans="1:7" ht="21.75" customHeight="1" thickBot="1">
      <c r="A21" s="51" t="s">
        <v>18</v>
      </c>
      <c r="B21" s="44" t="s">
        <v>50</v>
      </c>
      <c r="C21" s="45" t="s">
        <v>50</v>
      </c>
      <c r="E21" s="55"/>
      <c r="G21" s="54"/>
    </row>
    <row r="22" spans="1:7" ht="21.75" customHeight="1" thickBot="1">
      <c r="A22" s="52"/>
      <c r="B22" s="44" t="str">
        <f>[1]Results!D8</f>
        <v>Bosnia and Herzegovina</v>
      </c>
      <c r="D22" s="45" t="s">
        <v>50</v>
      </c>
      <c r="G22" s="54"/>
    </row>
    <row r="23" spans="1:7" ht="21.75" customHeight="1" thickBot="1">
      <c r="A23" s="51" t="s">
        <v>20</v>
      </c>
      <c r="B23" s="47" t="s">
        <v>124</v>
      </c>
      <c r="C23" s="45" t="s">
        <v>124</v>
      </c>
      <c r="G23" s="54"/>
    </row>
    <row r="24" spans="1:7" ht="21.75" customHeight="1" thickBot="1">
      <c r="A24" s="52"/>
      <c r="B24" s="46" t="s">
        <v>105</v>
      </c>
      <c r="G24" s="54"/>
    </row>
    <row r="25" spans="1:7" ht="21.75" customHeight="1" thickBot="1">
      <c r="A25" s="51" t="s">
        <v>22</v>
      </c>
      <c r="B25" s="44" t="s">
        <v>48</v>
      </c>
      <c r="C25" s="45" t="s">
        <v>48</v>
      </c>
      <c r="G25" s="54"/>
    </row>
    <row r="26" spans="1:7" ht="21.75" customHeight="1" thickBot="1">
      <c r="A26" s="52"/>
      <c r="B26" s="44" t="str">
        <f>[1]Results!D10</f>
        <v>Japan</v>
      </c>
      <c r="D26" s="45" t="s">
        <v>48</v>
      </c>
      <c r="G26" s="54"/>
    </row>
    <row r="27" spans="1:7" ht="21.75" customHeight="1" thickBot="1">
      <c r="A27" s="51" t="s">
        <v>24</v>
      </c>
      <c r="B27" s="44" t="s">
        <v>88</v>
      </c>
      <c r="C27" s="45" t="s">
        <v>88</v>
      </c>
      <c r="E27" s="53" t="s">
        <v>43</v>
      </c>
      <c r="G27" s="54"/>
    </row>
    <row r="28" spans="1:7" ht="21.75" customHeight="1" thickBot="1">
      <c r="A28" s="52"/>
      <c r="B28" s="48" t="s">
        <v>107</v>
      </c>
      <c r="E28" s="54"/>
      <c r="G28" s="54"/>
    </row>
    <row r="29" spans="1:7" ht="21.75" customHeight="1" thickBot="1">
      <c r="A29" s="51" t="s">
        <v>26</v>
      </c>
      <c r="B29" s="44" t="s">
        <v>43</v>
      </c>
      <c r="C29" s="45" t="s">
        <v>43</v>
      </c>
      <c r="E29" s="55"/>
      <c r="G29" s="55"/>
    </row>
    <row r="30" spans="1:7" ht="21.75" customHeight="1" thickBot="1">
      <c r="A30" s="52"/>
      <c r="B30" s="49" t="s">
        <v>137</v>
      </c>
      <c r="D30" s="45" t="s">
        <v>43</v>
      </c>
      <c r="F30" s="53" t="s">
        <v>93</v>
      </c>
    </row>
    <row r="31" spans="1:7" ht="21.75" customHeight="1" thickBot="1">
      <c r="A31" s="51" t="s">
        <v>28</v>
      </c>
      <c r="B31" s="50" t="s">
        <v>89</v>
      </c>
      <c r="C31" s="45" t="s">
        <v>89</v>
      </c>
      <c r="F31" s="54"/>
    </row>
    <row r="32" spans="1:7" ht="21.75" customHeight="1" thickBot="1">
      <c r="A32" s="52"/>
      <c r="B32" s="49" t="s">
        <v>127</v>
      </c>
      <c r="F32" s="54"/>
    </row>
    <row r="33" spans="1:6" ht="21.75" customHeight="1" thickBot="1">
      <c r="A33" s="51" t="s">
        <v>30</v>
      </c>
      <c r="B33" s="44" t="s">
        <v>93</v>
      </c>
      <c r="C33" s="45" t="s">
        <v>93</v>
      </c>
      <c r="F33" s="54"/>
    </row>
    <row r="34" spans="1:6" ht="21.75" customHeight="1" thickBot="1">
      <c r="A34" s="52"/>
      <c r="B34" s="49" t="s">
        <v>113</v>
      </c>
      <c r="D34" s="45" t="s">
        <v>93</v>
      </c>
      <c r="F34" s="55"/>
    </row>
    <row r="35" spans="1:6" ht="21.75" customHeight="1" thickBot="1">
      <c r="A35" s="51" t="s">
        <v>32</v>
      </c>
      <c r="B35" s="44" t="str">
        <f>[1]Results!C15</f>
        <v>Australia</v>
      </c>
      <c r="C35" s="45" t="s">
        <v>115</v>
      </c>
      <c r="E35" s="53" t="s">
        <v>93</v>
      </c>
    </row>
    <row r="36" spans="1:6" ht="21.75" customHeight="1" thickBot="1">
      <c r="A36" s="52"/>
      <c r="B36" s="49" t="s">
        <v>111</v>
      </c>
      <c r="E36" s="54"/>
    </row>
    <row r="37" spans="1:6" ht="21.75" customHeight="1" thickBot="1">
      <c r="A37" s="51" t="s">
        <v>34</v>
      </c>
      <c r="B37" s="44" t="s">
        <v>45</v>
      </c>
      <c r="C37" s="45" t="s">
        <v>45</v>
      </c>
      <c r="E37" s="55"/>
    </row>
    <row r="38" spans="1:6" ht="21.75" customHeight="1" thickBot="1">
      <c r="A38" s="52"/>
      <c r="B38" s="49" t="s">
        <v>109</v>
      </c>
      <c r="D38" s="45" t="s">
        <v>133</v>
      </c>
    </row>
    <row r="39" spans="1:6" ht="21.75" customHeight="1" thickBot="1">
      <c r="A39" s="51" t="s">
        <v>36</v>
      </c>
      <c r="B39" s="50" t="s">
        <v>136</v>
      </c>
      <c r="C39" s="45" t="s">
        <v>133</v>
      </c>
    </row>
    <row r="40" spans="1:6" ht="21.75" customHeight="1" thickBot="1">
      <c r="A40" s="52"/>
      <c r="B40" s="49" t="s">
        <v>133</v>
      </c>
    </row>
    <row r="41" spans="1:6" ht="21.75" customHeight="1"/>
    <row r="42" spans="1:6" ht="21.75" customHeight="1"/>
    <row r="43" spans="1:6" ht="21.75" customHeight="1"/>
    <row r="44" spans="1:6" ht="21.75" customHeight="1"/>
    <row r="45" spans="1:6" ht="21.75" customHeight="1"/>
    <row r="46" spans="1:6" ht="21.75" customHeight="1"/>
    <row r="47" spans="1:6" ht="21.7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26">
    <mergeCell ref="A1:G1"/>
    <mergeCell ref="B3:D3"/>
    <mergeCell ref="A8:B8"/>
    <mergeCell ref="A9:A10"/>
    <mergeCell ref="A11:A12"/>
    <mergeCell ref="E11:E13"/>
    <mergeCell ref="A13:A14"/>
    <mergeCell ref="F14:F18"/>
    <mergeCell ref="A15:A16"/>
    <mergeCell ref="A17:A18"/>
    <mergeCell ref="A39:A40"/>
    <mergeCell ref="A19:A20"/>
    <mergeCell ref="E19:E21"/>
    <mergeCell ref="G19:G29"/>
    <mergeCell ref="A21:A22"/>
    <mergeCell ref="A23:A24"/>
    <mergeCell ref="A25:A26"/>
    <mergeCell ref="A27:A28"/>
    <mergeCell ref="E27:E29"/>
    <mergeCell ref="A29:A30"/>
    <mergeCell ref="F30:F34"/>
    <mergeCell ref="A31:A32"/>
    <mergeCell ref="A33:A34"/>
    <mergeCell ref="A35:A36"/>
    <mergeCell ref="E35:E37"/>
    <mergeCell ref="A37:A38"/>
  </mergeCells>
  <dataValidations count="31">
    <dataValidation type="list" allowBlank="1" sqref="E11" xr:uid="{E64DD736-B9D0-40FF-B7E8-31F9B87EAEA8}">
      <formula1>$D$10:$D$14</formula1>
    </dataValidation>
    <dataValidation type="list" allowBlank="1" sqref="G19" xr:uid="{A6353A0A-38FA-4B5E-BCC9-4E396FAB2824}">
      <formula1>$F$14:$F$30</formula1>
    </dataValidation>
    <dataValidation type="list" allowBlank="1" sqref="C13" xr:uid="{28ACB5A0-ECDE-48E6-8C0F-E454CA45C1FF}">
      <formula1>$B$13:$B$14</formula1>
    </dataValidation>
    <dataValidation type="list" allowBlank="1" sqref="D10" xr:uid="{E2DBDD13-2230-4311-9032-669A26D24FE8}">
      <formula1>$C$9:$C$11</formula1>
    </dataValidation>
    <dataValidation type="list" allowBlank="1" sqref="C17" xr:uid="{CDA5DD94-127B-4415-A49B-1AAD1BA199EC}">
      <formula1>$B$17:$B$18</formula1>
    </dataValidation>
    <dataValidation type="list" allowBlank="1" sqref="C19" xr:uid="{BBCF3993-E0D2-437D-9C02-AC3E4C5AC531}">
      <formula1>$B$19:$B$20</formula1>
    </dataValidation>
    <dataValidation type="list" allowBlank="1" sqref="D26" xr:uid="{F087C262-D4A1-4C41-BCB0-35CCCF66887B}">
      <formula1>$C$25:$C$27</formula1>
    </dataValidation>
    <dataValidation type="list" allowBlank="1" sqref="C9" xr:uid="{CE617CFC-88DF-4B54-A5B0-EFF373548D7C}">
      <formula1>$B$9:$B$10</formula1>
    </dataValidation>
    <dataValidation type="list" allowBlank="1" sqref="D22" xr:uid="{6FF7E581-61D9-4920-A76E-A021FE15759A}">
      <formula1>$C$21:$C$23</formula1>
    </dataValidation>
    <dataValidation type="list" allowBlank="1" sqref="D34" xr:uid="{8F129317-E5FE-4B03-BA10-191D7A05A4B4}">
      <formula1>$C$33:$C$35</formula1>
    </dataValidation>
    <dataValidation type="list" allowBlank="1" sqref="F14" xr:uid="{5A7D1331-40AB-4050-AA15-4CAA9890C118}">
      <formula1>$E$11:$E$19</formula1>
    </dataValidation>
    <dataValidation type="list" allowBlank="1" sqref="D38" xr:uid="{9FF5FDA8-8520-4D89-8F18-B5AA3386C42D}">
      <formula1>$C$37:$C$39</formula1>
    </dataValidation>
    <dataValidation type="list" allowBlank="1" sqref="E27" xr:uid="{21736F30-E638-49E5-98EB-06180FC10CF0}">
      <formula1>$D$26:$D$30</formula1>
    </dataValidation>
    <dataValidation type="list" allowBlank="1" sqref="C29" xr:uid="{F778C3F1-EF3A-4D2C-BB17-D67A77E65237}">
      <formula1>$B$29:$B$30</formula1>
    </dataValidation>
    <dataValidation type="list" allowBlank="1" sqref="C25" xr:uid="{34487765-344F-4A28-85AA-B0639F0057B4}">
      <formula1>$B$25:$B$26</formula1>
    </dataValidation>
    <dataValidation type="list" allowBlank="1" sqref="C33" xr:uid="{6A122B14-73EF-4EBB-91DF-72F4395DC95F}">
      <formula1>$B$33:$B$34</formula1>
    </dataValidation>
    <dataValidation type="list" allowBlank="1" sqref="C21" xr:uid="{1E1C953B-0404-4DF5-8E0A-F1F3AE1FEEF1}">
      <formula1>$B$21:$B$22</formula1>
    </dataValidation>
    <dataValidation type="list" allowBlank="1" sqref="C37" xr:uid="{4F88016A-6689-4DBC-B556-6E193E2CA297}">
      <formula1>$B$37:$B$38</formula1>
    </dataValidation>
    <dataValidation type="list" allowBlank="1" sqref="E35" xr:uid="{520E1A55-8294-46C4-BE09-792F84B58784}">
      <formula1>$D$34:$D$38</formula1>
    </dataValidation>
    <dataValidation type="list" allowBlank="1" sqref="F30" xr:uid="{02B87D79-930F-47C7-A1C5-FAD3E00743D0}">
      <formula1>$E$27:$E$35</formula1>
    </dataValidation>
    <dataValidation type="list" allowBlank="1" sqref="C15" xr:uid="{959668C8-14B1-4DC0-A6F5-485490A07D46}">
      <formula1>$B$15:$B$16</formula1>
    </dataValidation>
    <dataValidation type="list" allowBlank="1" sqref="E19" xr:uid="{1C2FB7AE-97A8-4263-A02D-2AD95DF99489}">
      <formula1>$D$18:$D$22</formula1>
    </dataValidation>
    <dataValidation type="list" allowBlank="1" sqref="D30" xr:uid="{2FB70DDC-E592-4164-AB5E-482BCD4743A9}">
      <formula1>$C$29:$C$31</formula1>
    </dataValidation>
    <dataValidation type="list" allowBlank="1" sqref="C11" xr:uid="{169D16D1-E12F-45A3-BD18-5D8987307FB3}">
      <formula1>$B$11:$B$12</formula1>
    </dataValidation>
    <dataValidation type="list" allowBlank="1" sqref="C27" xr:uid="{74CB80B3-134B-4B59-A37D-1CE0E39858BD}">
      <formula1>$B$27:$B$28</formula1>
    </dataValidation>
    <dataValidation type="list" allowBlank="1" sqref="C23" xr:uid="{24208C2C-EC52-4225-8482-AE69DC79E723}">
      <formula1>$B$23:$B$24</formula1>
    </dataValidation>
    <dataValidation type="list" allowBlank="1" sqref="C31" xr:uid="{445ED96F-F139-4C47-B612-F12FD313187D}">
      <formula1>$B$31:$B$32</formula1>
    </dataValidation>
    <dataValidation type="list" allowBlank="1" sqref="C35" xr:uid="{B9218154-4621-43A8-990D-A8C9A9083662}">
      <formula1>$B$35:$B$36</formula1>
    </dataValidation>
    <dataValidation type="list" allowBlank="1" sqref="C39" xr:uid="{6E1C5589-482A-4FE5-8DA6-7B98F1874CB4}">
      <formula1>$B$39:$B$40</formula1>
    </dataValidation>
    <dataValidation type="list" allowBlank="1" sqref="D18" xr:uid="{B8DB185D-C33A-4C26-8CD7-CFD55FF4929F}">
      <formula1>$C$17:$C$19</formula1>
    </dataValidation>
    <dataValidation type="list" allowBlank="1" sqref="D14" xr:uid="{9D6856A6-7B43-4411-A116-67E82C19E23E}">
      <formula1>$C$13:$C$15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8348-A812-4FA3-8909-A14788EDD60F}">
  <dimension ref="A1:G32"/>
  <sheetViews>
    <sheetView workbookViewId="0">
      <selection activeCell="D2" sqref="D2"/>
    </sheetView>
  </sheetViews>
  <sheetFormatPr defaultRowHeight="14.25"/>
  <cols>
    <col min="1" max="1" width="8.25" bestFit="1" customWidth="1"/>
    <col min="2" max="2" width="6.625" bestFit="1" customWidth="1"/>
    <col min="3" max="3" width="12.25" bestFit="1" customWidth="1"/>
    <col min="4" max="4" width="20.625" bestFit="1" customWidth="1"/>
    <col min="5" max="5" width="13.25" bestFit="1" customWidth="1"/>
    <col min="6" max="6" width="13.25" customWidth="1"/>
    <col min="7" max="7" width="6.375" bestFit="1" customWidth="1"/>
  </cols>
  <sheetData>
    <row r="1" spans="1:7" ht="15">
      <c r="A1" s="5" t="s">
        <v>52</v>
      </c>
      <c r="B1" s="5" t="s">
        <v>37</v>
      </c>
      <c r="C1" s="5" t="s">
        <v>53</v>
      </c>
      <c r="D1" s="5" t="s">
        <v>54</v>
      </c>
      <c r="E1" s="5" t="s">
        <v>55</v>
      </c>
      <c r="F1" s="5" t="s">
        <v>225</v>
      </c>
      <c r="G1" s="5" t="s">
        <v>224</v>
      </c>
    </row>
    <row r="2" spans="1:7" ht="15">
      <c r="A2" s="6" t="s">
        <v>6</v>
      </c>
      <c r="B2" s="6" t="s">
        <v>39</v>
      </c>
      <c r="C2" s="6" t="e">
        <f>IF(#REF!="","",#REF!)</f>
        <v>#REF!</v>
      </c>
      <c r="D2" s="16" t="s">
        <v>226</v>
      </c>
      <c r="E2" s="7" t="s">
        <v>51</v>
      </c>
      <c r="F2" s="7">
        <v>6</v>
      </c>
      <c r="G2" s="6">
        <f>IFERROR(INDEX(#REF!,MATCH(B2,#REF!,0)),0)</f>
        <v>0</v>
      </c>
    </row>
    <row r="3" spans="1:7" ht="15">
      <c r="A3" s="6" t="s">
        <v>8</v>
      </c>
      <c r="B3" s="6" t="s">
        <v>39</v>
      </c>
      <c r="C3" s="16" t="e">
        <f>IF(#REF!="","",#REF!)</f>
        <v>#REF!</v>
      </c>
      <c r="D3" s="16" t="e">
        <f>IF(#REF!="","",#REF!)</f>
        <v>#REF!</v>
      </c>
      <c r="E3" s="7" t="s">
        <v>86</v>
      </c>
      <c r="F3" s="7">
        <v>6</v>
      </c>
      <c r="G3" s="6">
        <f>IFERROR(INDEX(#REF!,MATCH(B3,#REF!,0)),0)</f>
        <v>0</v>
      </c>
    </row>
    <row r="4" spans="1:7">
      <c r="A4" s="6" t="s">
        <v>10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7" t="s">
        <v>44</v>
      </c>
      <c r="F4" s="7">
        <v>6</v>
      </c>
      <c r="G4" s="6">
        <f>IFERROR(INDEX(#REF!,MATCH(B4,#REF!,0)),0)</f>
        <v>0</v>
      </c>
    </row>
    <row r="5" spans="1:7">
      <c r="A5" s="6" t="s">
        <v>12</v>
      </c>
      <c r="B5" s="6" t="s">
        <v>39</v>
      </c>
      <c r="C5" s="6" t="s">
        <v>85</v>
      </c>
      <c r="D5" s="6" t="e">
        <f>IF(#REF!="","",#REF!)</f>
        <v>#REF!</v>
      </c>
      <c r="E5" s="7" t="s">
        <v>49</v>
      </c>
      <c r="F5" s="7">
        <v>6</v>
      </c>
      <c r="G5" s="6">
        <f>IFERROR(INDEX(#REF!,MATCH(B5,#REF!,0)),0)</f>
        <v>0</v>
      </c>
    </row>
    <row r="6" spans="1:7" ht="15">
      <c r="A6" s="6" t="s">
        <v>14</v>
      </c>
      <c r="B6" s="6" t="s">
        <v>39</v>
      </c>
      <c r="C6" s="16" t="s">
        <v>91</v>
      </c>
      <c r="D6" s="16" t="e">
        <f>IF(#REF!="","",#REF!)</f>
        <v>#REF!</v>
      </c>
      <c r="E6" s="7" t="s">
        <v>123</v>
      </c>
      <c r="F6" s="7">
        <v>6</v>
      </c>
      <c r="G6" s="6">
        <f>IFERROR(INDEX(#REF!,MATCH(B6,#REF!,0)),0)</f>
        <v>0</v>
      </c>
    </row>
    <row r="7" spans="1:7" ht="15">
      <c r="A7" s="6" t="s">
        <v>16</v>
      </c>
      <c r="B7" s="6" t="s">
        <v>39</v>
      </c>
      <c r="C7" s="16" t="e">
        <f>IF(#REF!="","",#REF!)</f>
        <v>#REF!</v>
      </c>
      <c r="D7" s="16" t="e">
        <f>IF(#REF!="","",#REF!)</f>
        <v>#REF!</v>
      </c>
      <c r="E7" s="7" t="s">
        <v>137</v>
      </c>
      <c r="F7" s="7">
        <v>6</v>
      </c>
      <c r="G7" s="6">
        <f>IFERROR(INDEX(#REF!,MATCH(B7,#REF!,0)),0)</f>
        <v>0</v>
      </c>
    </row>
    <row r="8" spans="1:7">
      <c r="A8" s="6" t="s">
        <v>18</v>
      </c>
      <c r="B8" s="6" t="s">
        <v>39</v>
      </c>
      <c r="C8" s="6" t="e">
        <f>IF(#REF!="","",#REF!)</f>
        <v>#REF!</v>
      </c>
      <c r="D8" s="6" t="s">
        <v>47</v>
      </c>
      <c r="E8" s="7" t="s">
        <v>50</v>
      </c>
      <c r="F8" s="7">
        <v>6</v>
      </c>
      <c r="G8" s="6">
        <f>IFERROR(INDEX(#REF!,MATCH(B8,#REF!,0)),0)</f>
        <v>0</v>
      </c>
    </row>
    <row r="9" spans="1:7" ht="15">
      <c r="A9" s="6" t="s">
        <v>20</v>
      </c>
      <c r="B9" s="6" t="s">
        <v>39</v>
      </c>
      <c r="C9" s="16" t="e">
        <f>IF(#REF!="","",#REF!)</f>
        <v>#REF!</v>
      </c>
      <c r="D9" s="16" t="e">
        <f>IF(#REF!="","",#REF!)</f>
        <v>#REF!</v>
      </c>
      <c r="E9" s="7" t="s">
        <v>105</v>
      </c>
      <c r="F9" s="7">
        <v>6</v>
      </c>
      <c r="G9" s="6">
        <f>IFERROR(INDEX(#REF!,MATCH(B9,#REF!,0)),0)</f>
        <v>0</v>
      </c>
    </row>
    <row r="10" spans="1:7">
      <c r="A10" s="6" t="s">
        <v>22</v>
      </c>
      <c r="B10" s="6" t="s">
        <v>39</v>
      </c>
      <c r="C10" s="6" t="e">
        <f>IF(#REF!="","",#REF!)</f>
        <v>#REF!</v>
      </c>
      <c r="D10" s="6" t="s">
        <v>106</v>
      </c>
      <c r="E10" s="7" t="s">
        <v>48</v>
      </c>
      <c r="F10" s="7">
        <v>6</v>
      </c>
      <c r="G10" s="6">
        <f>IFERROR(INDEX(#REF!,MATCH(B10,#REF!,0)),0)</f>
        <v>0</v>
      </c>
    </row>
    <row r="11" spans="1:7" ht="15">
      <c r="A11" s="6" t="s">
        <v>24</v>
      </c>
      <c r="B11" s="6" t="s">
        <v>39</v>
      </c>
      <c r="C11" s="6" t="e">
        <f>IF(#REF!="","",#REF!)</f>
        <v>#REF!</v>
      </c>
      <c r="D11" s="16" t="e">
        <f>IF(#REF!="","",#REF!)</f>
        <v>#REF!</v>
      </c>
      <c r="E11" s="7" t="s">
        <v>107</v>
      </c>
      <c r="F11" s="7">
        <v>6</v>
      </c>
      <c r="G11" s="6">
        <f>IFERROR(INDEX(#REF!,MATCH(B11,#REF!,0)),0)</f>
        <v>0</v>
      </c>
    </row>
    <row r="12" spans="1:7" ht="15">
      <c r="A12" s="6" t="s">
        <v>26</v>
      </c>
      <c r="B12" s="6" t="s">
        <v>39</v>
      </c>
      <c r="C12" s="6" t="e">
        <f>IF(#REF!="","",#REF!)</f>
        <v>#REF!</v>
      </c>
      <c r="D12" s="16" t="e">
        <f>IF(#REF!="","",#REF!)</f>
        <v>#REF!</v>
      </c>
      <c r="E12" s="7" t="s">
        <v>43</v>
      </c>
      <c r="F12" s="7">
        <v>6</v>
      </c>
      <c r="G12" s="6">
        <f>IFERROR(INDEX(#REF!,MATCH(B12,#REF!,0)),0)</f>
        <v>0</v>
      </c>
    </row>
    <row r="13" spans="1:7" ht="15">
      <c r="A13" s="6" t="s">
        <v>28</v>
      </c>
      <c r="B13" s="6" t="s">
        <v>39</v>
      </c>
      <c r="C13" s="16" t="e">
        <f>IF(#REF!="","",#REF!)</f>
        <v>#REF!</v>
      </c>
      <c r="D13" s="16" t="s">
        <v>112</v>
      </c>
      <c r="E13" s="7" t="s">
        <v>110</v>
      </c>
      <c r="F13" s="7">
        <v>6</v>
      </c>
      <c r="G13" s="6">
        <f>IFERROR(INDEX(#REF!,MATCH(B13,#REF!,0)),0)</f>
        <v>0</v>
      </c>
    </row>
    <row r="14" spans="1:7" ht="15">
      <c r="A14" s="6" t="s">
        <v>30</v>
      </c>
      <c r="B14" s="6" t="s">
        <v>39</v>
      </c>
      <c r="C14" s="6" t="e">
        <f>IF(#REF!="","",#REF!)</f>
        <v>#REF!</v>
      </c>
      <c r="D14" s="16" t="e">
        <f>IF(#REF!="","",#REF!)</f>
        <v>#REF!</v>
      </c>
      <c r="E14" s="7" t="s">
        <v>113</v>
      </c>
      <c r="F14" s="7">
        <v>6</v>
      </c>
      <c r="G14" s="6">
        <f>IFERROR(INDEX(#REF!,MATCH(B14,#REF!,0)),0)</f>
        <v>0</v>
      </c>
    </row>
    <row r="15" spans="1:7" ht="15">
      <c r="A15" s="6" t="s">
        <v>32</v>
      </c>
      <c r="B15" s="6" t="s">
        <v>39</v>
      </c>
      <c r="C15" s="6" t="s">
        <v>115</v>
      </c>
      <c r="D15" s="16" t="e">
        <f>IF(#REF!="","",#REF!)</f>
        <v>#REF!</v>
      </c>
      <c r="E15" s="7" t="s">
        <v>115</v>
      </c>
      <c r="F15" s="7">
        <v>6</v>
      </c>
      <c r="G15" s="6">
        <f>IFERROR(INDEX(#REF!,MATCH(B15,#REF!,0)),0)</f>
        <v>0</v>
      </c>
    </row>
    <row r="16" spans="1:7" ht="15">
      <c r="A16" s="6" t="s">
        <v>34</v>
      </c>
      <c r="B16" s="6" t="s">
        <v>39</v>
      </c>
      <c r="C16" s="6" t="e">
        <f>IF(#REF!="","",#REF!)</f>
        <v>#REF!</v>
      </c>
      <c r="D16" s="16" t="e">
        <f>IF(#REF!="","",#REF!)</f>
        <v>#REF!</v>
      </c>
      <c r="E16" s="7" t="s">
        <v>45</v>
      </c>
      <c r="F16" s="7">
        <v>6</v>
      </c>
      <c r="G16" s="6">
        <f>IFERROR(INDEX(#REF!,MATCH(B16,#REF!,0)),0)</f>
        <v>0</v>
      </c>
    </row>
    <row r="17" spans="1:7" ht="15">
      <c r="A17" s="6" t="s">
        <v>36</v>
      </c>
      <c r="B17" s="6" t="s">
        <v>39</v>
      </c>
      <c r="C17" s="16" t="s">
        <v>227</v>
      </c>
      <c r="D17" s="16" t="s">
        <v>222</v>
      </c>
      <c r="E17" s="7" t="s">
        <v>227</v>
      </c>
      <c r="F17" s="7">
        <v>6</v>
      </c>
      <c r="G17" s="6">
        <f>IFERROR(INDEX(#REF!,MATCH(B17,#REF!,0)),0)</f>
        <v>0</v>
      </c>
    </row>
    <row r="18" spans="1:7">
      <c r="A18" s="6" t="s">
        <v>7</v>
      </c>
      <c r="B18" s="6" t="s">
        <v>40</v>
      </c>
      <c r="C18" s="6" t="str">
        <f>E2</f>
        <v>Germany</v>
      </c>
      <c r="D18" s="6" t="str">
        <f>E3</f>
        <v>France</v>
      </c>
      <c r="E18" s="7" t="s">
        <v>51</v>
      </c>
      <c r="F18" s="7">
        <v>6</v>
      </c>
      <c r="G18" s="6">
        <f>IFERROR(INDEX(#REF!,MATCH(B18,#REF!,0)),0)</f>
        <v>0</v>
      </c>
    </row>
    <row r="19" spans="1:7">
      <c r="A19" s="6" t="s">
        <v>11</v>
      </c>
      <c r="B19" s="6" t="s">
        <v>40</v>
      </c>
      <c r="C19" s="6" t="str">
        <f>E4</f>
        <v>South Africa</v>
      </c>
      <c r="D19" s="6" t="str">
        <f>E5</f>
        <v>Morocco</v>
      </c>
      <c r="E19" s="7" t="s">
        <v>44</v>
      </c>
      <c r="F19" s="7">
        <v>6</v>
      </c>
      <c r="G19" s="6">
        <f>IFERROR(INDEX(#REF!,MATCH(B19,#REF!,0)),0)</f>
        <v>0</v>
      </c>
    </row>
    <row r="20" spans="1:7">
      <c r="A20" s="6" t="s">
        <v>15</v>
      </c>
      <c r="B20" s="6" t="s">
        <v>40</v>
      </c>
      <c r="C20" s="6" t="str">
        <f>E6</f>
        <v>Ghana</v>
      </c>
      <c r="D20" s="6" t="str">
        <f>E7</f>
        <v>Uruguay</v>
      </c>
      <c r="E20" s="7" t="s">
        <v>123</v>
      </c>
      <c r="F20" s="7">
        <v>6</v>
      </c>
      <c r="G20" s="6">
        <f>IFERROR(INDEX(#REF!,MATCH(B20,#REF!,0)),0)</f>
        <v>0</v>
      </c>
    </row>
    <row r="21" spans="1:7">
      <c r="A21" s="6" t="s">
        <v>19</v>
      </c>
      <c r="B21" s="6" t="s">
        <v>40</v>
      </c>
      <c r="C21" s="6" t="str">
        <f>E8</f>
        <v>United States</v>
      </c>
      <c r="D21" s="6" t="str">
        <f>E9</f>
        <v>Czechia</v>
      </c>
      <c r="E21" s="7" t="s">
        <v>50</v>
      </c>
      <c r="F21" s="7">
        <v>6</v>
      </c>
      <c r="G21" s="6">
        <f>IFERROR(INDEX(#REF!,MATCH(B21,#REF!,0)),0)</f>
        <v>0</v>
      </c>
    </row>
    <row r="22" spans="1:7">
      <c r="A22" s="6" t="s">
        <v>23</v>
      </c>
      <c r="B22" s="6" t="s">
        <v>40</v>
      </c>
      <c r="C22" s="6" t="str">
        <f>E10</f>
        <v>Brazil</v>
      </c>
      <c r="D22" s="6" t="str">
        <f>E11</f>
        <v>Senegal</v>
      </c>
      <c r="E22" s="7" t="s">
        <v>48</v>
      </c>
      <c r="F22" s="7">
        <v>6</v>
      </c>
      <c r="G22" s="6">
        <f>IFERROR(INDEX(#REF!,MATCH(B22,#REF!,0)),0)</f>
        <v>0</v>
      </c>
    </row>
    <row r="23" spans="1:7">
      <c r="A23" s="6" t="s">
        <v>27</v>
      </c>
      <c r="B23" s="6" t="s">
        <v>40</v>
      </c>
      <c r="C23" s="6" t="str">
        <f>E12</f>
        <v>Mexico</v>
      </c>
      <c r="D23" s="6" t="str">
        <f>E13</f>
        <v>Croatia</v>
      </c>
      <c r="E23" s="7" t="s">
        <v>43</v>
      </c>
      <c r="F23" s="7">
        <v>6</v>
      </c>
      <c r="G23" s="6">
        <f>IFERROR(INDEX(#REF!,MATCH(B23,#REF!,0)),0)</f>
        <v>0</v>
      </c>
    </row>
    <row r="24" spans="1:7">
      <c r="A24" s="6" t="s">
        <v>31</v>
      </c>
      <c r="B24" s="6" t="s">
        <v>40</v>
      </c>
      <c r="C24" s="6" t="str">
        <f>E14</f>
        <v>Cape Verde</v>
      </c>
      <c r="D24" s="6" t="str">
        <f>E15</f>
        <v>Australia</v>
      </c>
      <c r="E24" s="7" t="s">
        <v>113</v>
      </c>
      <c r="F24" s="7">
        <v>6</v>
      </c>
      <c r="G24" s="6">
        <f>IFERROR(INDEX(#REF!,MATCH(B24,#REF!,0)),0)</f>
        <v>0</v>
      </c>
    </row>
    <row r="25" spans="1:7">
      <c r="A25" s="6" t="s">
        <v>35</v>
      </c>
      <c r="B25" s="6" t="s">
        <v>40</v>
      </c>
      <c r="C25" s="6" t="str">
        <f>E16</f>
        <v>Switzerland</v>
      </c>
      <c r="D25" s="6" t="str">
        <f>E17</f>
        <v>Columbia</v>
      </c>
      <c r="E25" s="7" t="s">
        <v>45</v>
      </c>
      <c r="F25" s="7">
        <v>6</v>
      </c>
      <c r="G25" s="6">
        <f>IFERROR(INDEX(#REF!,MATCH(B25,#REF!,0)),0)</f>
        <v>0</v>
      </c>
    </row>
    <row r="26" spans="1:7">
      <c r="A26" s="6" t="s">
        <v>9</v>
      </c>
      <c r="B26" s="6" t="s">
        <v>41</v>
      </c>
      <c r="C26" s="6" t="str">
        <f>E18</f>
        <v>Germany</v>
      </c>
      <c r="D26" s="6" t="str">
        <f>E19</f>
        <v>South Africa</v>
      </c>
      <c r="E26" s="7" t="s">
        <v>51</v>
      </c>
      <c r="F26" s="7">
        <v>6</v>
      </c>
      <c r="G26" s="6">
        <f>IFERROR(INDEX(#REF!,MATCH(B26,#REF!,0)),0)</f>
        <v>0</v>
      </c>
    </row>
    <row r="27" spans="1:7">
      <c r="A27" s="6" t="s">
        <v>17</v>
      </c>
      <c r="B27" s="6" t="s">
        <v>41</v>
      </c>
      <c r="C27" s="6" t="str">
        <f>E20</f>
        <v>Ghana</v>
      </c>
      <c r="D27" s="6" t="str">
        <f>E21</f>
        <v>United States</v>
      </c>
      <c r="E27" s="7" t="s">
        <v>123</v>
      </c>
      <c r="F27" s="7">
        <v>6</v>
      </c>
      <c r="G27" s="6">
        <f>IFERROR(INDEX(#REF!,MATCH(B27,#REF!,0)),0)</f>
        <v>0</v>
      </c>
    </row>
    <row r="28" spans="1:7">
      <c r="A28" s="6" t="s">
        <v>25</v>
      </c>
      <c r="B28" s="6" t="s">
        <v>41</v>
      </c>
      <c r="C28" s="6" t="str">
        <f>E22</f>
        <v>Brazil</v>
      </c>
      <c r="D28" s="6" t="str">
        <f>E23</f>
        <v>Mexico</v>
      </c>
      <c r="E28" s="7" t="s">
        <v>48</v>
      </c>
      <c r="F28" s="7">
        <v>6</v>
      </c>
      <c r="G28" s="6">
        <f>IFERROR(INDEX(#REF!,MATCH(B28,#REF!,0)),0)</f>
        <v>0</v>
      </c>
    </row>
    <row r="29" spans="1:7">
      <c r="A29" s="6" t="s">
        <v>33</v>
      </c>
      <c r="B29" s="6" t="s">
        <v>41</v>
      </c>
      <c r="C29" s="6" t="str">
        <f>E24</f>
        <v>Cape Verde</v>
      </c>
      <c r="D29" s="6" t="str">
        <f>E25</f>
        <v>Switzerland</v>
      </c>
      <c r="E29" s="7" t="s">
        <v>113</v>
      </c>
      <c r="F29" s="7">
        <v>6</v>
      </c>
      <c r="G29" s="6">
        <f>IFERROR(INDEX(#REF!,MATCH(B29,#REF!,0)),0)</f>
        <v>0</v>
      </c>
    </row>
    <row r="30" spans="1:7">
      <c r="A30" s="6" t="s">
        <v>13</v>
      </c>
      <c r="B30" s="6" t="s">
        <v>42</v>
      </c>
      <c r="C30" s="6" t="str">
        <f>E26</f>
        <v>Germany</v>
      </c>
      <c r="D30" s="6" t="str">
        <f>E27</f>
        <v>Ghana</v>
      </c>
      <c r="E30" s="7" t="s">
        <v>51</v>
      </c>
      <c r="F30" s="7">
        <v>6</v>
      </c>
      <c r="G30" s="6">
        <f>IFERROR(INDEX(#REF!,MATCH(B30,#REF!,0)),0)</f>
        <v>0</v>
      </c>
    </row>
    <row r="31" spans="1:7">
      <c r="A31" s="6" t="s">
        <v>29</v>
      </c>
      <c r="B31" s="6" t="s">
        <v>42</v>
      </c>
      <c r="C31" s="6" t="str">
        <f>E28</f>
        <v>Brazil</v>
      </c>
      <c r="D31" s="6" t="str">
        <f>E29</f>
        <v>Cape Verde</v>
      </c>
      <c r="E31" s="7" t="s">
        <v>48</v>
      </c>
      <c r="F31" s="7">
        <v>6</v>
      </c>
      <c r="G31" s="6">
        <f>IFERROR(INDEX(#REF!,MATCH(B31,#REF!,0)),0)</f>
        <v>0</v>
      </c>
    </row>
    <row r="32" spans="1:7">
      <c r="A32" s="6" t="s">
        <v>21</v>
      </c>
      <c r="B32" s="6" t="s">
        <v>5</v>
      </c>
      <c r="C32" s="6" t="str">
        <f>E30</f>
        <v>Germany</v>
      </c>
      <c r="D32" s="6" t="str">
        <f>E31</f>
        <v>Brazil</v>
      </c>
      <c r="E32" s="7" t="s">
        <v>51</v>
      </c>
      <c r="F32" s="7">
        <v>6</v>
      </c>
      <c r="G32" s="6">
        <f>IFERROR(INDEX(#REF!,MATCH(B32,#REF!,0)),0)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"/>
  <sheetViews>
    <sheetView showGridLines="0" topLeftCell="AE1" workbookViewId="0">
      <selection sqref="A1:M1"/>
    </sheetView>
  </sheetViews>
  <sheetFormatPr defaultRowHeight="14.25"/>
  <cols>
    <col min="1" max="2" width="10" customWidth="1"/>
    <col min="3" max="5" width="24" customWidth="1"/>
    <col min="6" max="8" width="12" customWidth="1"/>
    <col min="9" max="9" width="18" customWidth="1"/>
    <col min="11" max="11" width="18" customWidth="1"/>
    <col min="12" max="12" width="12" customWidth="1"/>
    <col min="13" max="15" width="10" customWidth="1"/>
    <col min="16" max="16" width="12" customWidth="1"/>
    <col min="17" max="17" width="24" customWidth="1"/>
    <col min="18" max="18" width="12" customWidth="1"/>
    <col min="27" max="50" width="24" customWidth="1"/>
  </cols>
  <sheetData>
    <row r="1" spans="1:50" ht="15">
      <c r="A1" s="76" t="s">
        <v>56</v>
      </c>
      <c r="B1" s="77"/>
      <c r="C1" s="77"/>
      <c r="D1" s="77"/>
      <c r="E1" s="77"/>
      <c r="F1" s="77"/>
      <c r="G1" s="77"/>
      <c r="H1" s="77"/>
      <c r="I1" s="77"/>
      <c r="J1" s="77"/>
      <c r="K1" s="76" t="s">
        <v>57</v>
      </c>
      <c r="L1" s="77"/>
      <c r="M1" s="78"/>
      <c r="N1" s="76" t="s">
        <v>58</v>
      </c>
      <c r="O1" s="77"/>
      <c r="P1" s="77"/>
      <c r="Q1" s="77"/>
      <c r="R1" s="78"/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K2" t="s">
        <v>83</v>
      </c>
      <c r="L2" t="e">
        <f>SUM(F4:F34)</f>
        <v>#REF!</v>
      </c>
      <c r="AA2" s="3" t="s">
        <v>84</v>
      </c>
      <c r="AB2" s="3" t="s">
        <v>85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86</v>
      </c>
      <c r="AH2" s="3" t="s">
        <v>87</v>
      </c>
      <c r="AI2" s="3" t="s">
        <v>89</v>
      </c>
      <c r="AJ2" s="3" t="s">
        <v>88</v>
      </c>
      <c r="AK2" s="3" t="s">
        <v>47</v>
      </c>
      <c r="AL2" s="3" t="s">
        <v>90</v>
      </c>
      <c r="AM2" s="3" t="s">
        <v>84</v>
      </c>
      <c r="AN2" s="3" t="s">
        <v>91</v>
      </c>
      <c r="AO2" s="3" t="s">
        <v>89</v>
      </c>
      <c r="AP2" s="3" t="s">
        <v>92</v>
      </c>
      <c r="AQ2" s="3" t="s">
        <v>93</v>
      </c>
      <c r="AR2" s="3" t="s">
        <v>88</v>
      </c>
      <c r="AS2" s="3" t="s">
        <v>93</v>
      </c>
      <c r="AT2" s="3" t="s">
        <v>92</v>
      </c>
      <c r="AU2" s="3" t="s">
        <v>91</v>
      </c>
      <c r="AV2" s="3" t="s">
        <v>94</v>
      </c>
      <c r="AW2" s="3" t="s">
        <v>94</v>
      </c>
      <c r="AX2" s="3" t="s">
        <v>90</v>
      </c>
    </row>
    <row r="3" spans="1:50" ht="15">
      <c r="A3" s="5" t="s">
        <v>52</v>
      </c>
      <c r="B3" s="5" t="s">
        <v>37</v>
      </c>
      <c r="C3" s="5" t="s">
        <v>53</v>
      </c>
      <c r="D3" s="5" t="s">
        <v>54</v>
      </c>
      <c r="E3" s="5" t="s">
        <v>95</v>
      </c>
      <c r="F3" s="5" t="s">
        <v>96</v>
      </c>
      <c r="G3" s="5" t="s">
        <v>97</v>
      </c>
      <c r="H3" s="5" t="s">
        <v>98</v>
      </c>
      <c r="I3" s="5" t="s">
        <v>99</v>
      </c>
      <c r="J3" s="6"/>
      <c r="K3" s="6" t="s">
        <v>100</v>
      </c>
      <c r="L3" s="6" t="e">
        <f>SUM(G4:G34)</f>
        <v>#REF!</v>
      </c>
      <c r="M3" s="6"/>
      <c r="N3" s="5" t="s">
        <v>52</v>
      </c>
      <c r="O3" s="5" t="s">
        <v>101</v>
      </c>
      <c r="P3" s="5" t="s">
        <v>102</v>
      </c>
      <c r="Q3" s="5" t="s">
        <v>103</v>
      </c>
      <c r="R3" s="5" t="s">
        <v>104</v>
      </c>
      <c r="AA3" s="3" t="s">
        <v>105</v>
      </c>
      <c r="AB3" s="3" t="s">
        <v>106</v>
      </c>
      <c r="AC3" s="3" t="s">
        <v>106</v>
      </c>
      <c r="AD3" s="3" t="s">
        <v>107</v>
      </c>
      <c r="AE3" s="3" t="s">
        <v>108</v>
      </c>
      <c r="AF3" s="3" t="s">
        <v>109</v>
      </c>
      <c r="AG3" s="3" t="s">
        <v>107</v>
      </c>
      <c r="AH3" s="3" t="s">
        <v>108</v>
      </c>
      <c r="AI3" s="3" t="s">
        <v>110</v>
      </c>
      <c r="AJ3" s="3" t="s">
        <v>109</v>
      </c>
      <c r="AK3" s="3" t="s">
        <v>88</v>
      </c>
      <c r="AL3" s="3" t="s">
        <v>111</v>
      </c>
      <c r="AM3" s="3" t="s">
        <v>105</v>
      </c>
      <c r="AN3" s="3" t="s">
        <v>112</v>
      </c>
      <c r="AO3" s="3" t="s">
        <v>110</v>
      </c>
      <c r="AP3" s="3" t="s">
        <v>113</v>
      </c>
      <c r="AQ3" s="3" t="s">
        <v>114</v>
      </c>
      <c r="AR3" s="3" t="s">
        <v>109</v>
      </c>
      <c r="AS3" s="3" t="s">
        <v>114</v>
      </c>
      <c r="AT3" s="3" t="s">
        <v>113</v>
      </c>
      <c r="AU3" s="3" t="s">
        <v>112</v>
      </c>
      <c r="AV3" s="3" t="s">
        <v>115</v>
      </c>
      <c r="AW3" s="3" t="s">
        <v>115</v>
      </c>
      <c r="AX3" s="3" t="s">
        <v>111</v>
      </c>
    </row>
    <row r="4" spans="1:50">
      <c r="A4" s="6" t="s">
        <v>6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6" t="e">
        <f>IF(#REF!="","",IF(OR(#REF!="Team A",#REF!=#REF!),#REF!,IF(OR(#REF!="Team B",#REF!=#REF!),#REF!,#REF!)))</f>
        <v>#REF!</v>
      </c>
      <c r="F4" s="6" t="e">
        <f t="shared" ref="F4:F34" si="0">IF(E4="",1,0)</f>
        <v>#REF!</v>
      </c>
      <c r="G4" s="8" t="e">
        <f t="shared" ref="G4:G34" si="1">IF(E4="",0,IF(OR(E4="Team A",E4="Team B",E4=C4,E4=D4),0,1))</f>
        <v>#REF!</v>
      </c>
      <c r="H4" s="6" t="s">
        <v>116</v>
      </c>
      <c r="I4" s="6" t="s">
        <v>117</v>
      </c>
      <c r="J4" s="6"/>
      <c r="K4" s="6" t="s">
        <v>118</v>
      </c>
      <c r="L4" s="6" t="e">
        <f>SUM(R4:R27)</f>
        <v>#REF!</v>
      </c>
      <c r="M4" s="6"/>
      <c r="N4" s="6" t="s">
        <v>6</v>
      </c>
      <c r="O4" s="6" t="s">
        <v>54</v>
      </c>
      <c r="P4" s="6" t="s">
        <v>119</v>
      </c>
      <c r="Q4" s="6" t="e">
        <f>IF(#REF!="","",#REF!)</f>
        <v>#REF!</v>
      </c>
      <c r="R4" s="6" t="e">
        <f t="shared" ref="R4:R27" si="2">IF(OR(Q4="",Q4="Team A",Q4="Team B"),1,0)</f>
        <v>#REF!</v>
      </c>
      <c r="AA4" s="3" t="s">
        <v>47</v>
      </c>
      <c r="AB4" s="3" t="s">
        <v>120</v>
      </c>
      <c r="AC4" s="3" t="s">
        <v>120</v>
      </c>
      <c r="AD4" s="3" t="s">
        <v>121</v>
      </c>
      <c r="AE4" s="3" t="s">
        <v>94</v>
      </c>
      <c r="AF4" s="3" t="s">
        <v>122</v>
      </c>
      <c r="AG4" s="3" t="s">
        <v>121</v>
      </c>
      <c r="AH4" s="3" t="s">
        <v>88</v>
      </c>
      <c r="AI4" s="3" t="s">
        <v>123</v>
      </c>
      <c r="AJ4" s="3" t="s">
        <v>122</v>
      </c>
      <c r="AK4" s="3" t="s">
        <v>109</v>
      </c>
      <c r="AL4" s="3" t="s">
        <v>124</v>
      </c>
      <c r="AM4" s="3" t="s">
        <v>88</v>
      </c>
      <c r="AN4" s="3" t="s">
        <v>125</v>
      </c>
      <c r="AO4" s="3" t="s">
        <v>123</v>
      </c>
      <c r="AP4" s="3" t="s">
        <v>126</v>
      </c>
      <c r="AQ4" s="3" t="s">
        <v>127</v>
      </c>
      <c r="AR4" s="3" t="s">
        <v>122</v>
      </c>
      <c r="AS4" s="3" t="s">
        <v>127</v>
      </c>
      <c r="AT4" s="3" t="s">
        <v>126</v>
      </c>
      <c r="AU4" s="3" t="s">
        <v>125</v>
      </c>
      <c r="AV4" s="3" t="s">
        <v>128</v>
      </c>
      <c r="AW4" s="3" t="s">
        <v>128</v>
      </c>
      <c r="AX4" s="3" t="s">
        <v>124</v>
      </c>
    </row>
    <row r="5" spans="1:50">
      <c r="A5" s="6" t="s">
        <v>8</v>
      </c>
      <c r="B5" s="6" t="s">
        <v>39</v>
      </c>
      <c r="C5" s="6" t="e">
        <f>IF(#REF!="","",#REF!)</f>
        <v>#REF!</v>
      </c>
      <c r="D5" s="6" t="e">
        <f>IF(#REF!="","",#REF!)</f>
        <v>#REF!</v>
      </c>
      <c r="E5" s="6" t="e">
        <f>IF(#REF!="","",IF(OR(#REF!="Team A",#REF!=#REF!),#REF!,IF(OR(#REF!="Team B",#REF!=#REF!),#REF!,#REF!)))</f>
        <v>#REF!</v>
      </c>
      <c r="F5" s="6" t="e">
        <f t="shared" si="0"/>
        <v>#REF!</v>
      </c>
      <c r="G5" s="8" t="e">
        <f t="shared" si="1"/>
        <v>#REF!</v>
      </c>
      <c r="H5" s="6" t="s">
        <v>129</v>
      </c>
      <c r="I5" s="6" t="s">
        <v>130</v>
      </c>
      <c r="J5" s="6"/>
      <c r="K5" s="6"/>
      <c r="L5" s="6"/>
      <c r="M5" s="6"/>
      <c r="N5" s="6" t="s">
        <v>12</v>
      </c>
      <c r="O5" s="6" t="s">
        <v>53</v>
      </c>
      <c r="P5" s="6" t="s">
        <v>131</v>
      </c>
      <c r="Q5" s="6" t="e">
        <f>IF(#REF!="","",#REF!)</f>
        <v>#REF!</v>
      </c>
      <c r="R5" s="6" t="e">
        <f t="shared" si="2"/>
        <v>#REF!</v>
      </c>
      <c r="AA5" s="3" t="s">
        <v>87</v>
      </c>
      <c r="AB5" s="3" t="s">
        <v>132</v>
      </c>
      <c r="AC5" s="3" t="s">
        <v>132</v>
      </c>
      <c r="AD5" s="3" t="s">
        <v>133</v>
      </c>
      <c r="AE5" s="3" t="s">
        <v>115</v>
      </c>
      <c r="AG5" s="3" t="s">
        <v>133</v>
      </c>
      <c r="AH5" s="3" t="s">
        <v>109</v>
      </c>
      <c r="AI5" s="3" t="s">
        <v>134</v>
      </c>
      <c r="AJ5" s="3" t="s">
        <v>92</v>
      </c>
      <c r="AK5" s="3" t="s">
        <v>122</v>
      </c>
      <c r="AL5" s="3" t="s">
        <v>135</v>
      </c>
      <c r="AM5" s="3" t="s">
        <v>109</v>
      </c>
      <c r="AN5" s="3" t="s">
        <v>136</v>
      </c>
      <c r="AO5" s="3" t="s">
        <v>134</v>
      </c>
      <c r="AP5" s="3" t="s">
        <v>137</v>
      </c>
      <c r="AQ5" s="3" t="s">
        <v>138</v>
      </c>
      <c r="AR5" s="3" t="s">
        <v>85</v>
      </c>
      <c r="AS5" s="3" t="s">
        <v>138</v>
      </c>
      <c r="AT5" s="3" t="s">
        <v>137</v>
      </c>
      <c r="AU5" s="3" t="s">
        <v>136</v>
      </c>
      <c r="AV5" s="3" t="s">
        <v>88</v>
      </c>
      <c r="AX5" s="3" t="s">
        <v>135</v>
      </c>
    </row>
    <row r="6" spans="1:50">
      <c r="A6" s="6" t="s">
        <v>10</v>
      </c>
      <c r="B6" s="6" t="s">
        <v>39</v>
      </c>
      <c r="C6" s="6" t="e">
        <f>IF(#REF!="","",#REF!)</f>
        <v>#REF!</v>
      </c>
      <c r="D6" s="6" t="e">
        <f>IF(#REF!="","",#REF!)</f>
        <v>#REF!</v>
      </c>
      <c r="E6" s="6" t="e">
        <f>IF(#REF!="","",IF(OR(#REF!="Team A",#REF!=#REF!),#REF!,IF(OR(#REF!="Team B",#REF!=#REF!),#REF!,#REF!)))</f>
        <v>#REF!</v>
      </c>
      <c r="F6" s="6" t="e">
        <f t="shared" si="0"/>
        <v>#REF!</v>
      </c>
      <c r="G6" s="8" t="e">
        <f t="shared" si="1"/>
        <v>#REF!</v>
      </c>
      <c r="H6" s="6" t="s">
        <v>139</v>
      </c>
      <c r="I6" s="6" t="s">
        <v>140</v>
      </c>
      <c r="J6" s="6"/>
      <c r="K6" s="6"/>
      <c r="L6" s="6"/>
      <c r="M6" s="6"/>
      <c r="N6" s="6" t="s">
        <v>22</v>
      </c>
      <c r="O6" s="6" t="s">
        <v>54</v>
      </c>
      <c r="P6" s="6" t="s">
        <v>141</v>
      </c>
      <c r="Q6" s="6" t="e">
        <f>IF(#REF!="","",#REF!)</f>
        <v>#REF!</v>
      </c>
      <c r="R6" s="6" t="e">
        <f t="shared" si="2"/>
        <v>#REF!</v>
      </c>
      <c r="AA6" s="3" t="s">
        <v>108</v>
      </c>
      <c r="AE6" s="3" t="s">
        <v>128</v>
      </c>
      <c r="AH6" s="3" t="s">
        <v>122</v>
      </c>
      <c r="AJ6" s="3" t="s">
        <v>113</v>
      </c>
      <c r="AK6" s="3" t="s">
        <v>85</v>
      </c>
      <c r="AM6" s="3" t="s">
        <v>122</v>
      </c>
      <c r="AR6" s="3" t="s">
        <v>106</v>
      </c>
      <c r="AV6" s="3" t="s">
        <v>109</v>
      </c>
    </row>
    <row r="7" spans="1:50">
      <c r="A7" s="6" t="s">
        <v>12</v>
      </c>
      <c r="B7" s="6" t="s">
        <v>39</v>
      </c>
      <c r="C7" s="6" t="e">
        <f>IF(#REF!="","",#REF!)</f>
        <v>#REF!</v>
      </c>
      <c r="D7" s="6" t="e">
        <f>IF(#REF!="","",#REF!)</f>
        <v>#REF!</v>
      </c>
      <c r="E7" s="6" t="e">
        <f>IF(#REF!="","",IF(OR(#REF!="Team A",#REF!=#REF!),#REF!,IF(OR(#REF!="Team B",#REF!=#REF!),#REF!,#REF!)))</f>
        <v>#REF!</v>
      </c>
      <c r="F7" s="6" t="e">
        <f t="shared" si="0"/>
        <v>#REF!</v>
      </c>
      <c r="G7" s="8" t="e">
        <f t="shared" si="1"/>
        <v>#REF!</v>
      </c>
      <c r="H7" s="6" t="s">
        <v>142</v>
      </c>
      <c r="I7" s="6" t="s">
        <v>143</v>
      </c>
      <c r="J7" s="6"/>
      <c r="K7" s="6"/>
      <c r="L7" s="6"/>
      <c r="M7" s="6"/>
      <c r="N7" s="6" t="s">
        <v>8</v>
      </c>
      <c r="O7" s="6" t="s">
        <v>53</v>
      </c>
      <c r="P7" s="6" t="s">
        <v>144</v>
      </c>
      <c r="Q7" s="6" t="e">
        <f>IF(#REF!="","",#REF!)</f>
        <v>#REF!</v>
      </c>
      <c r="R7" s="6" t="e">
        <f t="shared" si="2"/>
        <v>#REF!</v>
      </c>
      <c r="AA7" s="3" t="s">
        <v>94</v>
      </c>
      <c r="AE7" s="3" t="s">
        <v>85</v>
      </c>
      <c r="AH7" s="3" t="s">
        <v>85</v>
      </c>
      <c r="AJ7" s="3" t="s">
        <v>126</v>
      </c>
      <c r="AK7" s="3" t="s">
        <v>106</v>
      </c>
      <c r="AM7" s="3" t="s">
        <v>92</v>
      </c>
      <c r="AR7" s="3" t="s">
        <v>120</v>
      </c>
      <c r="AV7" s="3" t="s">
        <v>122</v>
      </c>
    </row>
    <row r="8" spans="1:50">
      <c r="A8" s="6" t="s">
        <v>14</v>
      </c>
      <c r="B8" s="6" t="s">
        <v>39</v>
      </c>
      <c r="C8" s="6" t="e">
        <f>IF(#REF!="","",#REF!)</f>
        <v>#REF!</v>
      </c>
      <c r="D8" s="6" t="e">
        <f>IF(#REF!="","",#REF!)</f>
        <v>#REF!</v>
      </c>
      <c r="E8" s="6" t="e">
        <f>IF(#REF!="","",IF(OR(#REF!="Team A",#REF!=#REF!),#REF!,IF(OR(#REF!="Team B",#REF!=#REF!),#REF!,#REF!)))</f>
        <v>#REF!</v>
      </c>
      <c r="F8" s="6" t="e">
        <f t="shared" si="0"/>
        <v>#REF!</v>
      </c>
      <c r="G8" s="8" t="e">
        <f t="shared" si="1"/>
        <v>#REF!</v>
      </c>
      <c r="H8" s="6" t="s">
        <v>145</v>
      </c>
      <c r="I8" s="6" t="s">
        <v>146</v>
      </c>
      <c r="J8" s="6"/>
      <c r="K8" s="6"/>
      <c r="L8" s="6"/>
      <c r="M8" s="6"/>
      <c r="N8" s="6" t="s">
        <v>8</v>
      </c>
      <c r="O8" s="6" t="s">
        <v>54</v>
      </c>
      <c r="P8" s="6" t="s">
        <v>147</v>
      </c>
      <c r="Q8" s="6" t="e">
        <f>IF(#REF!="","",#REF!)</f>
        <v>#REF!</v>
      </c>
      <c r="R8" s="6" t="e">
        <f t="shared" si="2"/>
        <v>#REF!</v>
      </c>
      <c r="AA8" s="3" t="s">
        <v>115</v>
      </c>
      <c r="AE8" s="3" t="s">
        <v>106</v>
      </c>
      <c r="AH8" s="3" t="s">
        <v>106</v>
      </c>
      <c r="AJ8" s="3" t="s">
        <v>137</v>
      </c>
      <c r="AK8" s="3" t="s">
        <v>120</v>
      </c>
      <c r="AM8" s="3" t="s">
        <v>113</v>
      </c>
      <c r="AR8" s="3" t="s">
        <v>132</v>
      </c>
      <c r="AV8" s="3" t="s">
        <v>86</v>
      </c>
    </row>
    <row r="9" spans="1:50">
      <c r="A9" s="6" t="s">
        <v>16</v>
      </c>
      <c r="B9" s="6" t="s">
        <v>39</v>
      </c>
      <c r="C9" s="6" t="e">
        <f>IF(#REF!="","",#REF!)</f>
        <v>#REF!</v>
      </c>
      <c r="D9" s="6" t="e">
        <f>IF(#REF!="","",#REF!)</f>
        <v>#REF!</v>
      </c>
      <c r="E9" s="6" t="e">
        <f>IF(#REF!="","",IF(OR(#REF!="Team A",#REF!=#REF!),#REF!,IF(OR(#REF!="Team B",#REF!=#REF!),#REF!,#REF!)))</f>
        <v>#REF!</v>
      </c>
      <c r="F9" s="6" t="e">
        <f t="shared" si="0"/>
        <v>#REF!</v>
      </c>
      <c r="G9" s="8" t="e">
        <f t="shared" si="1"/>
        <v>#REF!</v>
      </c>
      <c r="H9" s="6" t="s">
        <v>148</v>
      </c>
      <c r="I9" s="6" t="s">
        <v>149</v>
      </c>
      <c r="J9" s="6"/>
      <c r="K9" s="6"/>
      <c r="L9" s="6"/>
      <c r="M9" s="6"/>
      <c r="N9" s="6" t="s">
        <v>24</v>
      </c>
      <c r="O9" s="6" t="s">
        <v>53</v>
      </c>
      <c r="P9" s="6" t="s">
        <v>150</v>
      </c>
      <c r="Q9" s="6" t="e">
        <f>IF(#REF!="","",#REF!)</f>
        <v>#REF!</v>
      </c>
      <c r="R9" s="6" t="e">
        <f t="shared" si="2"/>
        <v>#REF!</v>
      </c>
      <c r="AA9" s="3" t="s">
        <v>128</v>
      </c>
      <c r="AE9" s="3" t="s">
        <v>120</v>
      </c>
      <c r="AH9" s="3" t="s">
        <v>120</v>
      </c>
      <c r="AJ9" s="3" t="s">
        <v>86</v>
      </c>
      <c r="AK9" s="3" t="s">
        <v>132</v>
      </c>
      <c r="AM9" s="3" t="s">
        <v>126</v>
      </c>
      <c r="AR9" s="3" t="s">
        <v>90</v>
      </c>
      <c r="AV9" s="3" t="s">
        <v>107</v>
      </c>
    </row>
    <row r="10" spans="1:50">
      <c r="A10" s="6" t="s">
        <v>18</v>
      </c>
      <c r="B10" s="6" t="s">
        <v>39</v>
      </c>
      <c r="C10" s="6" t="e">
        <f>IF(#REF!="","",#REF!)</f>
        <v>#REF!</v>
      </c>
      <c r="D10" s="6" t="e">
        <f>IF(#REF!="","",#REF!)</f>
        <v>#REF!</v>
      </c>
      <c r="E10" s="6" t="e">
        <f>IF(#REF!="","",IF(OR(#REF!="Team A",#REF!=#REF!),#REF!,IF(OR(#REF!="Team B",#REF!=#REF!),#REF!,#REF!)))</f>
        <v>#REF!</v>
      </c>
      <c r="F10" s="6" t="e">
        <f t="shared" si="0"/>
        <v>#REF!</v>
      </c>
      <c r="G10" s="8" t="e">
        <f t="shared" si="1"/>
        <v>#REF!</v>
      </c>
      <c r="H10" s="6" t="s">
        <v>151</v>
      </c>
      <c r="I10" s="6" t="s">
        <v>152</v>
      </c>
      <c r="J10" s="6"/>
      <c r="K10" s="6"/>
      <c r="L10" s="6"/>
      <c r="M10" s="6"/>
      <c r="N10" s="6" t="s">
        <v>24</v>
      </c>
      <c r="O10" s="6" t="s">
        <v>54</v>
      </c>
      <c r="P10" s="6" t="s">
        <v>153</v>
      </c>
      <c r="Q10" s="6" t="e">
        <f>IF(#REF!="","",#REF!)</f>
        <v>#REF!</v>
      </c>
      <c r="R10" s="6" t="e">
        <f t="shared" si="2"/>
        <v>#REF!</v>
      </c>
      <c r="AA10" s="3" t="s">
        <v>85</v>
      </c>
      <c r="AE10" s="3" t="s">
        <v>132</v>
      </c>
      <c r="AH10" s="3" t="s">
        <v>132</v>
      </c>
      <c r="AJ10" s="3" t="s">
        <v>107</v>
      </c>
      <c r="AK10" s="3" t="s">
        <v>86</v>
      </c>
      <c r="AM10" s="3" t="s">
        <v>137</v>
      </c>
      <c r="AR10" s="3" t="s">
        <v>111</v>
      </c>
      <c r="AV10" s="3" t="s">
        <v>121</v>
      </c>
    </row>
    <row r="11" spans="1:50">
      <c r="A11" s="6" t="s">
        <v>20</v>
      </c>
      <c r="B11" s="6" t="s">
        <v>39</v>
      </c>
      <c r="C11" s="6" t="e">
        <f>IF(#REF!="","",#REF!)</f>
        <v>#REF!</v>
      </c>
      <c r="D11" s="6" t="e">
        <f>IF(#REF!="","",#REF!)</f>
        <v>#REF!</v>
      </c>
      <c r="E11" s="6" t="e">
        <f>IF(#REF!="","",IF(OR(#REF!="Team A",#REF!=#REF!),#REF!,IF(OR(#REF!="Team B",#REF!=#REF!),#REF!,#REF!)))</f>
        <v>#REF!</v>
      </c>
      <c r="F11" s="6" t="e">
        <f t="shared" si="0"/>
        <v>#REF!</v>
      </c>
      <c r="G11" s="8" t="e">
        <f t="shared" si="1"/>
        <v>#REF!</v>
      </c>
      <c r="H11" s="6" t="s">
        <v>154</v>
      </c>
      <c r="I11" s="6" t="s">
        <v>155</v>
      </c>
      <c r="J11" s="6"/>
      <c r="K11" s="6"/>
      <c r="L11" s="6"/>
      <c r="M11" s="6"/>
      <c r="N11" s="6" t="s">
        <v>26</v>
      </c>
      <c r="O11" s="6" t="s">
        <v>54</v>
      </c>
      <c r="P11" s="6" t="s">
        <v>156</v>
      </c>
      <c r="Q11" s="6" t="e">
        <f>IF(#REF!="","",#REF!)</f>
        <v>#REF!</v>
      </c>
      <c r="R11" s="6" t="e">
        <f t="shared" si="2"/>
        <v>#REF!</v>
      </c>
      <c r="AA11" s="3" t="s">
        <v>106</v>
      </c>
      <c r="AE11" s="3" t="s">
        <v>90</v>
      </c>
      <c r="AH11" s="3" t="s">
        <v>92</v>
      </c>
      <c r="AJ11" s="3" t="s">
        <v>121</v>
      </c>
      <c r="AK11" s="3" t="s">
        <v>107</v>
      </c>
      <c r="AM11" s="3" t="s">
        <v>86</v>
      </c>
      <c r="AR11" s="3" t="s">
        <v>124</v>
      </c>
      <c r="AV11" s="3" t="s">
        <v>133</v>
      </c>
    </row>
    <row r="12" spans="1:50">
      <c r="A12" s="6" t="s">
        <v>22</v>
      </c>
      <c r="B12" s="6" t="s">
        <v>39</v>
      </c>
      <c r="C12" s="6" t="e">
        <f>IF(#REF!="","",#REF!)</f>
        <v>#REF!</v>
      </c>
      <c r="D12" s="6" t="e">
        <f>IF(#REF!="","",#REF!)</f>
        <v>#REF!</v>
      </c>
      <c r="E12" s="6" t="e">
        <f>IF(#REF!="","",IF(OR(#REF!="Team A",#REF!=#REF!),#REF!,IF(OR(#REF!="Team B",#REF!=#REF!),#REF!,#REF!)))</f>
        <v>#REF!</v>
      </c>
      <c r="F12" s="6" t="e">
        <f t="shared" si="0"/>
        <v>#REF!</v>
      </c>
      <c r="G12" s="8" t="e">
        <f t="shared" si="1"/>
        <v>#REF!</v>
      </c>
      <c r="H12" s="6" t="s">
        <v>157</v>
      </c>
      <c r="I12" s="6" t="s">
        <v>158</v>
      </c>
      <c r="J12" s="6"/>
      <c r="K12" s="6"/>
      <c r="L12" s="6"/>
      <c r="M12" s="6"/>
      <c r="N12" s="6" t="s">
        <v>28</v>
      </c>
      <c r="O12" s="6" t="s">
        <v>53</v>
      </c>
      <c r="P12" s="6" t="s">
        <v>159</v>
      </c>
      <c r="Q12" s="6" t="e">
        <f>IF(#REF!="","",#REF!)</f>
        <v>#REF!</v>
      </c>
      <c r="R12" s="6" t="e">
        <f t="shared" si="2"/>
        <v>#REF!</v>
      </c>
      <c r="AA12" s="3" t="s">
        <v>120</v>
      </c>
      <c r="AE12" s="3" t="s">
        <v>111</v>
      </c>
      <c r="AH12" s="3" t="s">
        <v>113</v>
      </c>
      <c r="AJ12" s="3" t="s">
        <v>133</v>
      </c>
      <c r="AK12" s="3" t="s">
        <v>121</v>
      </c>
      <c r="AM12" s="3" t="s">
        <v>107</v>
      </c>
      <c r="AR12" s="3" t="s">
        <v>135</v>
      </c>
      <c r="AV12" s="3" t="s">
        <v>93</v>
      </c>
    </row>
    <row r="13" spans="1:50">
      <c r="A13" s="6" t="s">
        <v>24</v>
      </c>
      <c r="B13" s="6" t="s">
        <v>39</v>
      </c>
      <c r="C13" s="6" t="e">
        <f>IF(#REF!="","",#REF!)</f>
        <v>#REF!</v>
      </c>
      <c r="D13" s="6" t="e">
        <f>IF(#REF!="","",#REF!)</f>
        <v>#REF!</v>
      </c>
      <c r="E13" s="6" t="e">
        <f>IF(#REF!="","",IF(OR(#REF!="Team A",#REF!=#REF!),#REF!,IF(OR(#REF!="Team B",#REF!=#REF!),#REF!,#REF!)))</f>
        <v>#REF!</v>
      </c>
      <c r="F13" s="6" t="e">
        <f t="shared" si="0"/>
        <v>#REF!</v>
      </c>
      <c r="G13" s="8" t="e">
        <f t="shared" si="1"/>
        <v>#REF!</v>
      </c>
      <c r="H13" s="6" t="s">
        <v>160</v>
      </c>
      <c r="I13" s="6" t="s">
        <v>161</v>
      </c>
      <c r="J13" s="6"/>
      <c r="K13" s="6"/>
      <c r="L13" s="6"/>
      <c r="M13" s="6"/>
      <c r="N13" s="6" t="s">
        <v>28</v>
      </c>
      <c r="O13" s="6" t="s">
        <v>54</v>
      </c>
      <c r="P13" s="6" t="s">
        <v>162</v>
      </c>
      <c r="Q13" s="6" t="e">
        <f>IF(#REF!="","",#REF!)</f>
        <v>#REF!</v>
      </c>
      <c r="R13" s="6" t="e">
        <f t="shared" si="2"/>
        <v>#REF!</v>
      </c>
      <c r="AA13" s="3" t="s">
        <v>132</v>
      </c>
      <c r="AE13" s="3" t="s">
        <v>124</v>
      </c>
      <c r="AH13" s="3" t="s">
        <v>126</v>
      </c>
      <c r="AJ13" s="3" t="s">
        <v>93</v>
      </c>
      <c r="AK13" s="3" t="s">
        <v>133</v>
      </c>
      <c r="AM13" s="3" t="s">
        <v>121</v>
      </c>
      <c r="AR13" s="3" t="s">
        <v>86</v>
      </c>
      <c r="AV13" s="3" t="s">
        <v>114</v>
      </c>
    </row>
    <row r="14" spans="1:50">
      <c r="A14" s="6" t="s">
        <v>26</v>
      </c>
      <c r="B14" s="6" t="s">
        <v>39</v>
      </c>
      <c r="C14" s="6" t="e">
        <f>IF(#REF!="","",#REF!)</f>
        <v>#REF!</v>
      </c>
      <c r="D14" s="6" t="e">
        <f>IF(#REF!="","",#REF!)</f>
        <v>#REF!</v>
      </c>
      <c r="E14" s="6" t="e">
        <f>IF(#REF!="","",IF(OR(#REF!="Team A",#REF!=#REF!),#REF!,IF(OR(#REF!="Team B",#REF!=#REF!),#REF!,#REF!)))</f>
        <v>#REF!</v>
      </c>
      <c r="F14" s="6" t="e">
        <f t="shared" si="0"/>
        <v>#REF!</v>
      </c>
      <c r="G14" s="8" t="e">
        <f t="shared" si="1"/>
        <v>#REF!</v>
      </c>
      <c r="H14" s="6" t="s">
        <v>163</v>
      </c>
      <c r="I14" s="6" t="s">
        <v>164</v>
      </c>
      <c r="J14" s="6"/>
      <c r="K14" s="6"/>
      <c r="L14" s="6"/>
      <c r="M14" s="6"/>
      <c r="N14" s="6" t="s">
        <v>18</v>
      </c>
      <c r="O14" s="6" t="s">
        <v>54</v>
      </c>
      <c r="P14" s="6" t="s">
        <v>165</v>
      </c>
      <c r="Q14" s="6" t="e">
        <f>IF(#REF!="","",#REF!)</f>
        <v>#REF!</v>
      </c>
      <c r="R14" s="6" t="e">
        <f t="shared" si="2"/>
        <v>#REF!</v>
      </c>
      <c r="AE14" s="3" t="s">
        <v>135</v>
      </c>
      <c r="AH14" s="3" t="s">
        <v>137</v>
      </c>
      <c r="AJ14" s="3" t="s">
        <v>114</v>
      </c>
      <c r="AK14" s="3" t="s">
        <v>93</v>
      </c>
      <c r="AM14" s="3" t="s">
        <v>133</v>
      </c>
      <c r="AR14" s="3" t="s">
        <v>107</v>
      </c>
      <c r="AV14" s="3" t="s">
        <v>127</v>
      </c>
    </row>
    <row r="15" spans="1:50">
      <c r="A15" s="6" t="s">
        <v>28</v>
      </c>
      <c r="B15" s="6" t="s">
        <v>39</v>
      </c>
      <c r="C15" s="6" t="e">
        <f>IF(#REF!="","",#REF!)</f>
        <v>#REF!</v>
      </c>
      <c r="D15" s="6" t="e">
        <f>IF(#REF!="","",#REF!)</f>
        <v>#REF!</v>
      </c>
      <c r="E15" s="6" t="e">
        <f>IF(#REF!="","",IF(OR(#REF!="Team A",#REF!=#REF!),#REF!,IF(OR(#REF!="Team B",#REF!=#REF!),#REF!,#REF!)))</f>
        <v>#REF!</v>
      </c>
      <c r="F15" s="6" t="e">
        <f t="shared" si="0"/>
        <v>#REF!</v>
      </c>
      <c r="G15" s="8" t="e">
        <f t="shared" si="1"/>
        <v>#REF!</v>
      </c>
      <c r="H15" s="6" t="s">
        <v>166</v>
      </c>
      <c r="I15" s="6" t="s">
        <v>167</v>
      </c>
      <c r="J15" s="6"/>
      <c r="K15" s="6"/>
      <c r="L15" s="6"/>
      <c r="M15" s="6"/>
      <c r="N15" s="6" t="s">
        <v>20</v>
      </c>
      <c r="O15" s="6" t="s">
        <v>53</v>
      </c>
      <c r="P15" s="6" t="s">
        <v>168</v>
      </c>
      <c r="Q15" s="6" t="e">
        <f>IF(#REF!="","",#REF!)</f>
        <v>#REF!</v>
      </c>
      <c r="R15" s="6" t="e">
        <f t="shared" si="2"/>
        <v>#REF!</v>
      </c>
      <c r="AE15" s="3" t="s">
        <v>92</v>
      </c>
      <c r="AH15" s="3" t="s">
        <v>86</v>
      </c>
      <c r="AJ15" s="3" t="s">
        <v>127</v>
      </c>
      <c r="AK15" s="3" t="s">
        <v>114</v>
      </c>
      <c r="AM15" s="3" t="s">
        <v>93</v>
      </c>
      <c r="AR15" s="3" t="s">
        <v>121</v>
      </c>
      <c r="AV15" s="3" t="s">
        <v>138</v>
      </c>
    </row>
    <row r="16" spans="1:50">
      <c r="A16" s="6" t="s">
        <v>30</v>
      </c>
      <c r="B16" s="6" t="s">
        <v>39</v>
      </c>
      <c r="C16" s="6" t="e">
        <f>IF(#REF!="","",#REF!)</f>
        <v>#REF!</v>
      </c>
      <c r="D16" s="6" t="e">
        <f>IF(#REF!="","",#REF!)</f>
        <v>#REF!</v>
      </c>
      <c r="E16" s="6" t="e">
        <f>IF(#REF!="","",IF(OR(#REF!="Team A",#REF!=#REF!),#REF!,IF(OR(#REF!="Team B",#REF!=#REF!),#REF!,#REF!)))</f>
        <v>#REF!</v>
      </c>
      <c r="F16" s="6" t="e">
        <f t="shared" si="0"/>
        <v>#REF!</v>
      </c>
      <c r="G16" s="8" t="e">
        <f t="shared" si="1"/>
        <v>#REF!</v>
      </c>
      <c r="H16" s="6" t="s">
        <v>169</v>
      </c>
      <c r="I16" s="6" t="s">
        <v>170</v>
      </c>
      <c r="J16" s="6"/>
      <c r="K16" s="6"/>
      <c r="L16" s="6"/>
      <c r="M16" s="6"/>
      <c r="N16" s="6" t="s">
        <v>20</v>
      </c>
      <c r="O16" s="6" t="s">
        <v>54</v>
      </c>
      <c r="P16" s="6" t="s">
        <v>171</v>
      </c>
      <c r="Q16" s="6" t="e">
        <f>IF(#REF!="","",#REF!)</f>
        <v>#REF!</v>
      </c>
      <c r="R16" s="6" t="e">
        <f t="shared" si="2"/>
        <v>#REF!</v>
      </c>
      <c r="AE16" s="3" t="s">
        <v>113</v>
      </c>
      <c r="AH16" s="3" t="s">
        <v>107</v>
      </c>
      <c r="AJ16" s="3" t="s">
        <v>138</v>
      </c>
      <c r="AK16" s="3" t="s">
        <v>127</v>
      </c>
      <c r="AM16" s="3" t="s">
        <v>114</v>
      </c>
      <c r="AR16" s="3" t="s">
        <v>133</v>
      </c>
      <c r="AV16" s="3" t="s">
        <v>89</v>
      </c>
    </row>
    <row r="17" spans="1:48">
      <c r="A17" s="6" t="s">
        <v>32</v>
      </c>
      <c r="B17" s="6" t="s">
        <v>39</v>
      </c>
      <c r="C17" s="6" t="e">
        <f>IF(#REF!="","",#REF!)</f>
        <v>#REF!</v>
      </c>
      <c r="D17" s="6" t="e">
        <f>IF(#REF!="","",#REF!)</f>
        <v>#REF!</v>
      </c>
      <c r="E17" s="6" t="e">
        <f>IF(#REF!="","",IF(OR(#REF!="Team A",#REF!=#REF!),#REF!,IF(OR(#REF!="Team B",#REF!=#REF!),#REF!,#REF!)))</f>
        <v>#REF!</v>
      </c>
      <c r="F17" s="6" t="e">
        <f t="shared" si="0"/>
        <v>#REF!</v>
      </c>
      <c r="G17" s="8" t="e">
        <f t="shared" si="1"/>
        <v>#REF!</v>
      </c>
      <c r="H17" s="6" t="s">
        <v>172</v>
      </c>
      <c r="I17" s="6" t="s">
        <v>173</v>
      </c>
      <c r="J17" s="6"/>
      <c r="K17" s="6"/>
      <c r="L17" s="6"/>
      <c r="M17" s="6"/>
      <c r="N17" s="6" t="s">
        <v>14</v>
      </c>
      <c r="O17" s="6" t="s">
        <v>53</v>
      </c>
      <c r="P17" s="6" t="s">
        <v>174</v>
      </c>
      <c r="Q17" s="6" t="e">
        <f>IF(#REF!="","",#REF!)</f>
        <v>#REF!</v>
      </c>
      <c r="R17" s="6" t="e">
        <f t="shared" si="2"/>
        <v>#REF!</v>
      </c>
      <c r="AE17" s="3" t="s">
        <v>126</v>
      </c>
      <c r="AH17" s="3" t="s">
        <v>121</v>
      </c>
      <c r="AJ17" s="3" t="s">
        <v>91</v>
      </c>
      <c r="AK17" s="3" t="s">
        <v>138</v>
      </c>
      <c r="AM17" s="3" t="s">
        <v>127</v>
      </c>
      <c r="AR17" s="3" t="s">
        <v>93</v>
      </c>
      <c r="AV17" s="3" t="s">
        <v>110</v>
      </c>
    </row>
    <row r="18" spans="1:48">
      <c r="A18" s="6" t="s">
        <v>34</v>
      </c>
      <c r="B18" s="6" t="s">
        <v>39</v>
      </c>
      <c r="C18" s="6" t="e">
        <f>IF(#REF!="","",#REF!)</f>
        <v>#REF!</v>
      </c>
      <c r="D18" s="6" t="e">
        <f>IF(#REF!="","",#REF!)</f>
        <v>#REF!</v>
      </c>
      <c r="E18" s="6" t="e">
        <f>IF(#REF!="","",IF(OR(#REF!="Team A",#REF!=#REF!),#REF!,IF(OR(#REF!="Team B",#REF!=#REF!),#REF!,#REF!)))</f>
        <v>#REF!</v>
      </c>
      <c r="F18" s="6" t="e">
        <f t="shared" si="0"/>
        <v>#REF!</v>
      </c>
      <c r="G18" s="8" t="e">
        <f t="shared" si="1"/>
        <v>#REF!</v>
      </c>
      <c r="H18" s="6" t="s">
        <v>175</v>
      </c>
      <c r="I18" s="6" t="s">
        <v>176</v>
      </c>
      <c r="J18" s="6"/>
      <c r="K18" s="6"/>
      <c r="L18" s="6"/>
      <c r="M18" s="6"/>
      <c r="N18" s="6" t="s">
        <v>14</v>
      </c>
      <c r="O18" s="6" t="s">
        <v>54</v>
      </c>
      <c r="P18" s="6" t="s">
        <v>177</v>
      </c>
      <c r="Q18" s="6" t="e">
        <f>IF(#REF!="","",#REF!)</f>
        <v>#REF!</v>
      </c>
      <c r="R18" s="6" t="e">
        <f t="shared" si="2"/>
        <v>#REF!</v>
      </c>
      <c r="AE18" s="3" t="s">
        <v>137</v>
      </c>
      <c r="AH18" s="3" t="s">
        <v>133</v>
      </c>
      <c r="AJ18" s="3" t="s">
        <v>112</v>
      </c>
      <c r="AM18" s="3" t="s">
        <v>138</v>
      </c>
      <c r="AR18" s="3" t="s">
        <v>114</v>
      </c>
      <c r="AV18" s="3" t="s">
        <v>123</v>
      </c>
    </row>
    <row r="19" spans="1:48">
      <c r="A19" s="6" t="s">
        <v>36</v>
      </c>
      <c r="B19" s="6" t="s">
        <v>39</v>
      </c>
      <c r="C19" s="6" t="e">
        <f>IF(#REF!="","",#REF!)</f>
        <v>#REF!</v>
      </c>
      <c r="D19" s="6" t="e">
        <f>IF(#REF!="","",#REF!)</f>
        <v>#REF!</v>
      </c>
      <c r="E19" s="6" t="e">
        <f>IF(#REF!="","",IF(OR(#REF!="Team A",#REF!=#REF!),#REF!,IF(OR(#REF!="Team B",#REF!=#REF!),#REF!,#REF!)))</f>
        <v>#REF!</v>
      </c>
      <c r="F19" s="6" t="e">
        <f t="shared" si="0"/>
        <v>#REF!</v>
      </c>
      <c r="G19" s="8" t="e">
        <f t="shared" si="1"/>
        <v>#REF!</v>
      </c>
      <c r="H19" s="6" t="s">
        <v>178</v>
      </c>
      <c r="I19" s="6" t="s">
        <v>179</v>
      </c>
      <c r="J19" s="6"/>
      <c r="K19" s="6"/>
      <c r="L19" s="6"/>
      <c r="M19" s="6"/>
      <c r="N19" s="6" t="s">
        <v>16</v>
      </c>
      <c r="O19" s="6" t="s">
        <v>53</v>
      </c>
      <c r="P19" s="6" t="s">
        <v>180</v>
      </c>
      <c r="Q19" s="6" t="e">
        <f>IF(#REF!="","",#REF!)</f>
        <v>#REF!</v>
      </c>
      <c r="R19" s="6" t="e">
        <f t="shared" si="2"/>
        <v>#REF!</v>
      </c>
      <c r="AJ19" s="3" t="s">
        <v>125</v>
      </c>
      <c r="AR19" s="3" t="s">
        <v>127</v>
      </c>
      <c r="AV19" s="3" t="s">
        <v>134</v>
      </c>
    </row>
    <row r="20" spans="1:48">
      <c r="A20" s="6" t="s">
        <v>7</v>
      </c>
      <c r="B20" s="6" t="s">
        <v>40</v>
      </c>
      <c r="C20" s="6" t="e">
        <f>IF(#REF!="","",#REF!)</f>
        <v>#REF!</v>
      </c>
      <c r="D20" s="6" t="e">
        <f>IF(#REF!="","",#REF!)</f>
        <v>#REF!</v>
      </c>
      <c r="E20" s="6" t="e">
        <f>IF(#REF!="","",IF(OR(#REF!="Team A",#REF!=#REF!),#REF!,IF(OR(#REF!="Team B",#REF!=#REF!),#REF!,#REF!)))</f>
        <v>#REF!</v>
      </c>
      <c r="F20" s="6" t="e">
        <f t="shared" si="0"/>
        <v>#REF!</v>
      </c>
      <c r="G20" s="8" t="e">
        <f t="shared" si="1"/>
        <v>#REF!</v>
      </c>
      <c r="H20" s="6" t="s">
        <v>181</v>
      </c>
      <c r="I20" s="6" t="s">
        <v>182</v>
      </c>
      <c r="J20" s="6"/>
      <c r="K20" s="6"/>
      <c r="L20" s="6"/>
      <c r="M20" s="6"/>
      <c r="N20" s="6" t="s">
        <v>16</v>
      </c>
      <c r="O20" s="6" t="s">
        <v>54</v>
      </c>
      <c r="P20" s="6" t="s">
        <v>183</v>
      </c>
      <c r="Q20" s="6" t="e">
        <f>IF(#REF!="","",#REF!)</f>
        <v>#REF!</v>
      </c>
      <c r="R20" s="6" t="e">
        <f t="shared" si="2"/>
        <v>#REF!</v>
      </c>
      <c r="AJ20" s="3" t="s">
        <v>136</v>
      </c>
      <c r="AR20" s="3" t="s">
        <v>138</v>
      </c>
    </row>
    <row r="21" spans="1:48">
      <c r="A21" s="6" t="s">
        <v>11</v>
      </c>
      <c r="B21" s="6" t="s">
        <v>40</v>
      </c>
      <c r="C21" s="6" t="e">
        <f>IF(#REF!="","",#REF!)</f>
        <v>#REF!</v>
      </c>
      <c r="D21" s="6" t="e">
        <f>IF(#REF!="","",#REF!)</f>
        <v>#REF!</v>
      </c>
      <c r="E21" s="6" t="e">
        <f>IF(#REF!="","",IF(OR(#REF!="Team A",#REF!=#REF!),#REF!,IF(OR(#REF!="Team B",#REF!=#REF!),#REF!,#REF!)))</f>
        <v>#REF!</v>
      </c>
      <c r="F21" s="6" t="e">
        <f t="shared" si="0"/>
        <v>#REF!</v>
      </c>
      <c r="G21" s="8" t="e">
        <f t="shared" si="1"/>
        <v>#REF!</v>
      </c>
      <c r="H21" s="6" t="s">
        <v>184</v>
      </c>
      <c r="I21" s="6" t="s">
        <v>185</v>
      </c>
      <c r="J21" s="6"/>
      <c r="K21" s="6"/>
      <c r="L21" s="6"/>
      <c r="M21" s="6"/>
      <c r="N21" s="6" t="s">
        <v>34</v>
      </c>
      <c r="O21" s="6" t="s">
        <v>54</v>
      </c>
      <c r="P21" s="6" t="s">
        <v>186</v>
      </c>
      <c r="Q21" s="6" t="e">
        <f>IF(#REF!="","",#REF!)</f>
        <v>#REF!</v>
      </c>
      <c r="R21" s="6" t="e">
        <f t="shared" si="2"/>
        <v>#REF!</v>
      </c>
    </row>
    <row r="22" spans="1:48">
      <c r="A22" s="6" t="s">
        <v>15</v>
      </c>
      <c r="B22" s="6" t="s">
        <v>40</v>
      </c>
      <c r="C22" s="6" t="e">
        <f>IF(#REF!="","",#REF!)</f>
        <v>#REF!</v>
      </c>
      <c r="D22" s="6" t="e">
        <f>IF(#REF!="","",#REF!)</f>
        <v>#REF!</v>
      </c>
      <c r="E22" s="6" t="e">
        <f>IF(#REF!="","",IF(OR(#REF!="Team A",#REF!=#REF!),#REF!,IF(OR(#REF!="Team B",#REF!=#REF!),#REF!,#REF!)))</f>
        <v>#REF!</v>
      </c>
      <c r="F22" s="6" t="e">
        <f t="shared" si="0"/>
        <v>#REF!</v>
      </c>
      <c r="G22" s="8" t="e">
        <f t="shared" si="1"/>
        <v>#REF!</v>
      </c>
      <c r="H22" s="6" t="s">
        <v>187</v>
      </c>
      <c r="I22" s="6" t="s">
        <v>188</v>
      </c>
      <c r="J22" s="6"/>
      <c r="K22" s="6"/>
      <c r="L22" s="6"/>
      <c r="M22" s="6"/>
      <c r="N22" s="6" t="s">
        <v>30</v>
      </c>
      <c r="O22" s="6" t="s">
        <v>53</v>
      </c>
      <c r="P22" s="6" t="s">
        <v>189</v>
      </c>
      <c r="Q22" s="6" t="e">
        <f>IF(#REF!="","",#REF!)</f>
        <v>#REF!</v>
      </c>
      <c r="R22" s="6" t="e">
        <f t="shared" si="2"/>
        <v>#REF!</v>
      </c>
    </row>
    <row r="23" spans="1:48">
      <c r="A23" s="6" t="s">
        <v>19</v>
      </c>
      <c r="B23" s="6" t="s">
        <v>40</v>
      </c>
      <c r="C23" s="6" t="e">
        <f>IF(#REF!="","",#REF!)</f>
        <v>#REF!</v>
      </c>
      <c r="D23" s="6" t="e">
        <f>IF(#REF!="","",#REF!)</f>
        <v>#REF!</v>
      </c>
      <c r="E23" s="6" t="e">
        <f>IF(#REF!="","",IF(OR(#REF!="Team A",#REF!=#REF!),#REF!,IF(OR(#REF!="Team B",#REF!=#REF!),#REF!,#REF!)))</f>
        <v>#REF!</v>
      </c>
      <c r="F23" s="6" t="e">
        <f t="shared" si="0"/>
        <v>#REF!</v>
      </c>
      <c r="G23" s="8" t="e">
        <f t="shared" si="1"/>
        <v>#REF!</v>
      </c>
      <c r="H23" s="6" t="s">
        <v>190</v>
      </c>
      <c r="I23" s="6" t="s">
        <v>191</v>
      </c>
      <c r="J23" s="6"/>
      <c r="K23" s="6"/>
      <c r="L23" s="6"/>
      <c r="M23" s="6"/>
      <c r="N23" s="6" t="s">
        <v>30</v>
      </c>
      <c r="O23" s="6" t="s">
        <v>54</v>
      </c>
      <c r="P23" s="6" t="s">
        <v>192</v>
      </c>
      <c r="Q23" s="6" t="e">
        <f>IF(#REF!="","",#REF!)</f>
        <v>#REF!</v>
      </c>
      <c r="R23" s="6" t="e">
        <f t="shared" si="2"/>
        <v>#REF!</v>
      </c>
    </row>
    <row r="24" spans="1:48">
      <c r="A24" s="6" t="s">
        <v>23</v>
      </c>
      <c r="B24" s="6" t="s">
        <v>40</v>
      </c>
      <c r="C24" s="6" t="e">
        <f>IF(#REF!="","",#REF!)</f>
        <v>#REF!</v>
      </c>
      <c r="D24" s="6" t="e">
        <f>IF(#REF!="","",#REF!)</f>
        <v>#REF!</v>
      </c>
      <c r="E24" s="6" t="e">
        <f>IF(#REF!="","",IF(OR(#REF!="Team A",#REF!=#REF!),#REF!,IF(OR(#REF!="Team B",#REF!=#REF!),#REF!,#REF!)))</f>
        <v>#REF!</v>
      </c>
      <c r="F24" s="6" t="e">
        <f t="shared" si="0"/>
        <v>#REF!</v>
      </c>
      <c r="G24" s="8" t="e">
        <f t="shared" si="1"/>
        <v>#REF!</v>
      </c>
      <c r="H24" s="6" t="s">
        <v>193</v>
      </c>
      <c r="I24" s="6" t="s">
        <v>194</v>
      </c>
      <c r="J24" s="6"/>
      <c r="K24" s="6"/>
      <c r="L24" s="6"/>
      <c r="M24" s="6"/>
      <c r="N24" s="6" t="s">
        <v>36</v>
      </c>
      <c r="O24" s="6" t="s">
        <v>53</v>
      </c>
      <c r="P24" s="6" t="s">
        <v>195</v>
      </c>
      <c r="Q24" s="6" t="e">
        <f>IF(#REF!="","",#REF!)</f>
        <v>#REF!</v>
      </c>
      <c r="R24" s="6" t="e">
        <f t="shared" si="2"/>
        <v>#REF!</v>
      </c>
    </row>
    <row r="25" spans="1:48">
      <c r="A25" s="6" t="s">
        <v>27</v>
      </c>
      <c r="B25" s="6" t="s">
        <v>40</v>
      </c>
      <c r="C25" s="6" t="e">
        <f>IF(#REF!="","",#REF!)</f>
        <v>#REF!</v>
      </c>
      <c r="D25" s="6" t="e">
        <f>IF(#REF!="","",#REF!)</f>
        <v>#REF!</v>
      </c>
      <c r="E25" s="6" t="e">
        <f>IF(#REF!="","",IF(OR(#REF!="Team A",#REF!=#REF!),#REF!,IF(OR(#REF!="Team B",#REF!=#REF!),#REF!,#REF!)))</f>
        <v>#REF!</v>
      </c>
      <c r="F25" s="6" t="e">
        <f t="shared" si="0"/>
        <v>#REF!</v>
      </c>
      <c r="G25" s="8" t="e">
        <f t="shared" si="1"/>
        <v>#REF!</v>
      </c>
      <c r="H25" s="6" t="s">
        <v>196</v>
      </c>
      <c r="I25" s="6" t="s">
        <v>197</v>
      </c>
      <c r="J25" s="6"/>
      <c r="K25" s="6"/>
      <c r="L25" s="6"/>
      <c r="M25" s="6"/>
      <c r="N25" s="6" t="s">
        <v>36</v>
      </c>
      <c r="O25" s="6" t="s">
        <v>54</v>
      </c>
      <c r="P25" s="6" t="s">
        <v>198</v>
      </c>
      <c r="Q25" s="6" t="e">
        <f>IF(#REF!="","",#REF!)</f>
        <v>#REF!</v>
      </c>
      <c r="R25" s="6" t="e">
        <f t="shared" si="2"/>
        <v>#REF!</v>
      </c>
    </row>
    <row r="26" spans="1:48">
      <c r="A26" s="6" t="s">
        <v>31</v>
      </c>
      <c r="B26" s="6" t="s">
        <v>40</v>
      </c>
      <c r="C26" s="6" t="e">
        <f>IF(#REF!="","",#REF!)</f>
        <v>#REF!</v>
      </c>
      <c r="D26" s="6" t="e">
        <f>IF(#REF!="","",#REF!)</f>
        <v>#REF!</v>
      </c>
      <c r="E26" s="6" t="e">
        <f>IF(#REF!="","",IF(OR(#REF!="Team A",#REF!=#REF!),#REF!,IF(OR(#REF!="Team B",#REF!=#REF!),#REF!,#REF!)))</f>
        <v>#REF!</v>
      </c>
      <c r="F26" s="6" t="e">
        <f t="shared" si="0"/>
        <v>#REF!</v>
      </c>
      <c r="G26" s="8" t="e">
        <f t="shared" si="1"/>
        <v>#REF!</v>
      </c>
      <c r="H26" s="6" t="s">
        <v>199</v>
      </c>
      <c r="I26" s="6" t="s">
        <v>200</v>
      </c>
      <c r="J26" s="6"/>
      <c r="K26" s="6"/>
      <c r="L26" s="6"/>
      <c r="M26" s="6"/>
      <c r="N26" s="6" t="s">
        <v>32</v>
      </c>
      <c r="O26" s="6" t="s">
        <v>53</v>
      </c>
      <c r="P26" s="6" t="s">
        <v>201</v>
      </c>
      <c r="Q26" s="6" t="e">
        <f>IF(#REF!="","",#REF!)</f>
        <v>#REF!</v>
      </c>
      <c r="R26" s="6" t="e">
        <f t="shared" si="2"/>
        <v>#REF!</v>
      </c>
    </row>
    <row r="27" spans="1:48">
      <c r="A27" s="6" t="s">
        <v>35</v>
      </c>
      <c r="B27" s="6" t="s">
        <v>40</v>
      </c>
      <c r="C27" s="6" t="e">
        <f>IF(#REF!="","",#REF!)</f>
        <v>#REF!</v>
      </c>
      <c r="D27" s="6" t="e">
        <f>IF(#REF!="","",#REF!)</f>
        <v>#REF!</v>
      </c>
      <c r="E27" s="6" t="e">
        <f>IF(#REF!="","",IF(OR(#REF!="Team A",#REF!=#REF!),#REF!,IF(OR(#REF!="Team B",#REF!=#REF!),#REF!,#REF!)))</f>
        <v>#REF!</v>
      </c>
      <c r="F27" s="6" t="e">
        <f t="shared" si="0"/>
        <v>#REF!</v>
      </c>
      <c r="G27" s="8" t="e">
        <f t="shared" si="1"/>
        <v>#REF!</v>
      </c>
      <c r="H27" s="6" t="s">
        <v>202</v>
      </c>
      <c r="I27" s="6" t="s">
        <v>203</v>
      </c>
      <c r="J27" s="6"/>
      <c r="K27" s="6"/>
      <c r="L27" s="6"/>
      <c r="M27" s="6"/>
      <c r="N27" s="6" t="s">
        <v>32</v>
      </c>
      <c r="O27" s="6" t="s">
        <v>54</v>
      </c>
      <c r="P27" s="6" t="s">
        <v>204</v>
      </c>
      <c r="Q27" s="6" t="e">
        <f>IF(#REF!="","",#REF!)</f>
        <v>#REF!</v>
      </c>
      <c r="R27" s="6" t="e">
        <f t="shared" si="2"/>
        <v>#REF!</v>
      </c>
    </row>
    <row r="28" spans="1:48">
      <c r="A28" s="6" t="s">
        <v>9</v>
      </c>
      <c r="B28" s="6" t="s">
        <v>41</v>
      </c>
      <c r="C28" s="6" t="e">
        <f>IF(#REF!="","",#REF!)</f>
        <v>#REF!</v>
      </c>
      <c r="D28" s="6" t="e">
        <f>IF(#REF!="","",#REF!)</f>
        <v>#REF!</v>
      </c>
      <c r="E28" s="6" t="e">
        <f>IF(#REF!="","",IF(OR(#REF!="Team A",#REF!=#REF!),#REF!,IF(OR(#REF!="Team B",#REF!=#REF!),#REF!,#REF!)))</f>
        <v>#REF!</v>
      </c>
      <c r="F28" s="6" t="e">
        <f t="shared" si="0"/>
        <v>#REF!</v>
      </c>
      <c r="G28" s="8" t="e">
        <f t="shared" si="1"/>
        <v>#REF!</v>
      </c>
      <c r="H28" s="6" t="s">
        <v>205</v>
      </c>
      <c r="I28" s="6" t="s">
        <v>206</v>
      </c>
      <c r="J28" s="6"/>
      <c r="K28" s="6"/>
      <c r="L28" s="6"/>
      <c r="M28" s="6"/>
    </row>
    <row r="29" spans="1:48">
      <c r="A29" s="6" t="s">
        <v>17</v>
      </c>
      <c r="B29" s="6" t="s">
        <v>41</v>
      </c>
      <c r="C29" s="6" t="e">
        <f>IF(#REF!="","",#REF!)</f>
        <v>#REF!</v>
      </c>
      <c r="D29" s="6" t="e">
        <f>IF(#REF!="","",#REF!)</f>
        <v>#REF!</v>
      </c>
      <c r="E29" s="6" t="e">
        <f>IF(#REF!="","",IF(OR(#REF!="Team A",#REF!=#REF!),#REF!,IF(OR(#REF!="Team B",#REF!=#REF!),#REF!,#REF!)))</f>
        <v>#REF!</v>
      </c>
      <c r="F29" s="6" t="e">
        <f t="shared" si="0"/>
        <v>#REF!</v>
      </c>
      <c r="G29" s="8" t="e">
        <f t="shared" si="1"/>
        <v>#REF!</v>
      </c>
      <c r="H29" s="6" t="s">
        <v>207</v>
      </c>
      <c r="I29" s="6" t="s">
        <v>208</v>
      </c>
      <c r="J29" s="6"/>
      <c r="K29" s="6"/>
      <c r="L29" s="6"/>
      <c r="M29" s="6"/>
    </row>
    <row r="30" spans="1:48">
      <c r="A30" s="6" t="s">
        <v>25</v>
      </c>
      <c r="B30" s="6" t="s">
        <v>41</v>
      </c>
      <c r="C30" s="6" t="e">
        <f>IF(#REF!="","",#REF!)</f>
        <v>#REF!</v>
      </c>
      <c r="D30" s="6" t="e">
        <f>IF(#REF!="","",#REF!)</f>
        <v>#REF!</v>
      </c>
      <c r="E30" s="6" t="e">
        <f>IF(#REF!="","",IF(OR(#REF!="Team A",#REF!=#REF!),#REF!,IF(OR(#REF!="Team B",#REF!=#REF!),#REF!,#REF!)))</f>
        <v>#REF!</v>
      </c>
      <c r="F30" s="6" t="e">
        <f t="shared" si="0"/>
        <v>#REF!</v>
      </c>
      <c r="G30" s="8" t="e">
        <f t="shared" si="1"/>
        <v>#REF!</v>
      </c>
      <c r="H30" s="6" t="s">
        <v>209</v>
      </c>
      <c r="I30" s="6" t="s">
        <v>210</v>
      </c>
      <c r="J30" s="6"/>
      <c r="K30" s="6"/>
      <c r="L30" s="6"/>
      <c r="M30" s="6"/>
    </row>
    <row r="31" spans="1:48">
      <c r="A31" s="6" t="s">
        <v>33</v>
      </c>
      <c r="B31" s="6" t="s">
        <v>41</v>
      </c>
      <c r="C31" s="6" t="e">
        <f>IF(#REF!="","",#REF!)</f>
        <v>#REF!</v>
      </c>
      <c r="D31" s="6" t="e">
        <f>IF(#REF!="","",#REF!)</f>
        <v>#REF!</v>
      </c>
      <c r="E31" s="6" t="e">
        <f>IF(#REF!="","",IF(OR(#REF!="Team A",#REF!=#REF!),#REF!,IF(OR(#REF!="Team B",#REF!=#REF!),#REF!,#REF!)))</f>
        <v>#REF!</v>
      </c>
      <c r="F31" s="6" t="e">
        <f t="shared" si="0"/>
        <v>#REF!</v>
      </c>
      <c r="G31" s="8" t="e">
        <f t="shared" si="1"/>
        <v>#REF!</v>
      </c>
      <c r="H31" s="6" t="s">
        <v>211</v>
      </c>
      <c r="I31" s="6" t="s">
        <v>212</v>
      </c>
      <c r="J31" s="6"/>
      <c r="K31" s="6"/>
      <c r="L31" s="6"/>
      <c r="M31" s="6"/>
    </row>
    <row r="32" spans="1:48">
      <c r="A32" s="6" t="s">
        <v>13</v>
      </c>
      <c r="B32" s="6" t="s">
        <v>42</v>
      </c>
      <c r="C32" s="6" t="e">
        <f>IF(#REF!="","",#REF!)</f>
        <v>#REF!</v>
      </c>
      <c r="D32" s="6" t="e">
        <f>IF(#REF!="","",#REF!)</f>
        <v>#REF!</v>
      </c>
      <c r="E32" s="6" t="e">
        <f>IF(#REF!="","",IF(OR(#REF!="Team A",#REF!=#REF!),#REF!,IF(OR(#REF!="Team B",#REF!=#REF!),#REF!,#REF!)))</f>
        <v>#REF!</v>
      </c>
      <c r="F32" s="6" t="e">
        <f t="shared" si="0"/>
        <v>#REF!</v>
      </c>
      <c r="G32" s="8" t="e">
        <f t="shared" si="1"/>
        <v>#REF!</v>
      </c>
      <c r="H32" s="6" t="s">
        <v>213</v>
      </c>
      <c r="I32" s="6" t="s">
        <v>214</v>
      </c>
      <c r="J32" s="6"/>
      <c r="K32" s="6"/>
      <c r="L32" s="6"/>
      <c r="M32" s="6"/>
    </row>
    <row r="33" spans="1:13">
      <c r="A33" s="6" t="s">
        <v>29</v>
      </c>
      <c r="B33" s="6" t="s">
        <v>42</v>
      </c>
      <c r="C33" s="6" t="e">
        <f>IF(#REF!="","",#REF!)</f>
        <v>#REF!</v>
      </c>
      <c r="D33" s="6" t="e">
        <f>IF(#REF!="","",#REF!)</f>
        <v>#REF!</v>
      </c>
      <c r="E33" s="6" t="e">
        <f>IF(#REF!="","",IF(OR(#REF!="Team A",#REF!=#REF!),#REF!,IF(OR(#REF!="Team B",#REF!=#REF!),#REF!,#REF!)))</f>
        <v>#REF!</v>
      </c>
      <c r="F33" s="6" t="e">
        <f t="shared" si="0"/>
        <v>#REF!</v>
      </c>
      <c r="G33" s="8" t="e">
        <f t="shared" si="1"/>
        <v>#REF!</v>
      </c>
      <c r="H33" s="6" t="s">
        <v>215</v>
      </c>
      <c r="I33" s="6" t="s">
        <v>216</v>
      </c>
      <c r="J33" s="6"/>
      <c r="K33" s="6"/>
      <c r="L33" s="6"/>
      <c r="M33" s="6"/>
    </row>
    <row r="34" spans="1:13">
      <c r="A34" s="6" t="s">
        <v>21</v>
      </c>
      <c r="B34" s="6" t="s">
        <v>5</v>
      </c>
      <c r="C34" s="6" t="e">
        <f>IF(#REF!="","",#REF!)</f>
        <v>#REF!</v>
      </c>
      <c r="D34" s="6" t="e">
        <f>IF(#REF!="","",#REF!)</f>
        <v>#REF!</v>
      </c>
      <c r="E34" s="6" t="e">
        <f>IF(#REF!="","",IF(OR(#REF!="Team A",#REF!=#REF!),#REF!,IF(OR(#REF!="Team B",#REF!=#REF!),#REF!,#REF!)))</f>
        <v>#REF!</v>
      </c>
      <c r="F34" s="6" t="e">
        <f t="shared" si="0"/>
        <v>#REF!</v>
      </c>
      <c r="G34" s="8" t="e">
        <f t="shared" si="1"/>
        <v>#REF!</v>
      </c>
      <c r="H34" s="6" t="s">
        <v>217</v>
      </c>
      <c r="I34" s="6" t="s">
        <v>218</v>
      </c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2">
    <mergeCell ref="A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Alex Pusch</vt:lpstr>
      <vt:lpstr>Aaron Hudson</vt:lpstr>
      <vt:lpstr>Elliot</vt:lpstr>
      <vt:lpstr>Joey Hoke</vt:lpstr>
      <vt:lpstr>Kingsley Dunkley</vt:lpstr>
      <vt:lpstr>Results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Pusch</dc:creator>
  <cp:lastModifiedBy>Elliot Anderson-Cameron</cp:lastModifiedBy>
  <dcterms:created xsi:type="dcterms:W3CDTF">2026-06-25T22:54:24Z</dcterms:created>
  <dcterms:modified xsi:type="dcterms:W3CDTF">2026-06-26T19:12:23Z</dcterms:modified>
</cp:coreProperties>
</file>