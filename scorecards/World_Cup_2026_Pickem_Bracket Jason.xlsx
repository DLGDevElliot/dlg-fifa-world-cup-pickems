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heelprosllc-my.sharepoint.com/personal/jasony_wheelpros_com/Documents/Desktop/"/>
    </mc:Choice>
  </mc:AlternateContent>
  <xr:revisionPtr revIDLastSave="89" documentId="8_{2C9FDE1E-A43F-4232-91D9-5813F8FCE754}" xr6:coauthVersionLast="47" xr6:coauthVersionMax="47" xr10:uidLastSave="{1B762A97-D21F-428E-8AEE-CDB22C2BAA23}"/>
  <bookViews>
    <workbookView xWindow="28680" yWindow="-16335" windowWidth="29040" windowHeight="15720" xr2:uid="{00000000-000D-0000-FFFF-FFFF00000000}"/>
  </bookViews>
  <sheets>
    <sheet name="Bracket" sheetId="7" r:id="rId1"/>
    <sheet name="Results" sheetId="8" state="hidden" r:id="rId2"/>
    <sheet name="Teams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B22" i="7"/>
  <c r="B26" i="7"/>
  <c r="B35" i="7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G32" i="8"/>
  <c r="F4" i="7" s="1"/>
  <c r="G31" i="8"/>
  <c r="G30" i="8"/>
  <c r="E4" i="7" s="1"/>
  <c r="G29" i="8"/>
  <c r="G28" i="8"/>
  <c r="G27" i="8"/>
  <c r="G26" i="8"/>
  <c r="D4" i="7" s="1"/>
  <c r="G25" i="8"/>
  <c r="G24" i="8"/>
  <c r="G23" i="8"/>
  <c r="G22" i="8"/>
  <c r="G21" i="8"/>
  <c r="G20" i="8"/>
  <c r="C4" i="7" s="1"/>
  <c r="G19" i="8"/>
  <c r="G18" i="8"/>
  <c r="G17" i="8"/>
  <c r="D16" i="8"/>
  <c r="C16" i="8"/>
  <c r="G16" i="8"/>
  <c r="D15" i="8"/>
  <c r="G15" i="8"/>
  <c r="D14" i="8"/>
  <c r="C14" i="8"/>
  <c r="G14" i="8"/>
  <c r="C13" i="8"/>
  <c r="G13" i="8"/>
  <c r="D12" i="8"/>
  <c r="C12" i="8"/>
  <c r="G12" i="8"/>
  <c r="D11" i="8"/>
  <c r="C11" i="8"/>
  <c r="G11" i="8"/>
  <c r="C10" i="8"/>
  <c r="G10" i="8"/>
  <c r="D9" i="8"/>
  <c r="C9" i="8"/>
  <c r="G9" i="8"/>
  <c r="C8" i="8"/>
  <c r="G8" i="8"/>
  <c r="D7" i="8"/>
  <c r="C7" i="8"/>
  <c r="G7" i="8"/>
  <c r="D6" i="8"/>
  <c r="G6" i="8"/>
  <c r="D5" i="8"/>
  <c r="G5" i="8"/>
  <c r="D4" i="8"/>
  <c r="C4" i="8"/>
  <c r="G4" i="8"/>
  <c r="D3" i="8"/>
  <c r="C3" i="8"/>
  <c r="G3" i="8"/>
  <c r="C2" i="8"/>
  <c r="G2" i="8"/>
  <c r="B4" i="7" s="1"/>
  <c r="E31" i="4"/>
  <c r="E30" i="4"/>
  <c r="E29" i="4"/>
  <c r="E28" i="4"/>
  <c r="E27" i="4"/>
  <c r="E26" i="4"/>
  <c r="E25" i="4"/>
  <c r="E24" i="4"/>
  <c r="E23" i="4"/>
  <c r="E22" i="4"/>
  <c r="E21" i="4"/>
  <c r="E19" i="4"/>
  <c r="E17" i="4"/>
  <c r="E16" i="4"/>
  <c r="E15" i="4"/>
  <c r="E13" i="4"/>
  <c r="E11" i="4"/>
  <c r="E9" i="4"/>
  <c r="E8" i="4"/>
  <c r="E5" i="4"/>
  <c r="E32" i="4" l="1"/>
  <c r="E33" i="4"/>
  <c r="F31" i="4"/>
  <c r="G25" i="4"/>
  <c r="C25" i="4"/>
  <c r="C24" i="4"/>
  <c r="C21" i="4"/>
  <c r="F16" i="4"/>
  <c r="D20" i="4"/>
  <c r="F19" i="4"/>
  <c r="F5" i="4"/>
  <c r="D27" i="4"/>
  <c r="C27" i="4"/>
  <c r="F26" i="4"/>
  <c r="F22" i="4"/>
  <c r="F11" i="4"/>
  <c r="C33" i="4"/>
  <c r="F32" i="4"/>
  <c r="G21" i="4"/>
  <c r="D32" i="4"/>
  <c r="C32" i="4"/>
  <c r="D31" i="4"/>
  <c r="D30" i="4"/>
  <c r="F25" i="4"/>
  <c r="C22" i="4"/>
  <c r="F13" i="4"/>
  <c r="D34" i="4"/>
  <c r="C31" i="4"/>
  <c r="F30" i="4"/>
  <c r="C30" i="4"/>
  <c r="D29" i="4"/>
  <c r="F28" i="4"/>
  <c r="D28" i="4"/>
  <c r="G27" i="4"/>
  <c r="F27" i="4"/>
  <c r="F24" i="4"/>
  <c r="G23" i="4"/>
  <c r="F9" i="4"/>
  <c r="F8" i="4"/>
  <c r="F29" i="4"/>
  <c r="C29" i="4"/>
  <c r="D23" i="4"/>
  <c r="F23" i="4"/>
  <c r="D33" i="4"/>
  <c r="F15" i="4"/>
  <c r="D26" i="4"/>
  <c r="C26" i="4"/>
  <c r="D25" i="4"/>
  <c r="D24" i="4"/>
  <c r="C23" i="4"/>
  <c r="F21" i="4"/>
  <c r="D22" i="4"/>
  <c r="D21" i="4"/>
  <c r="F17" i="4"/>
  <c r="F3" i="7" l="1"/>
  <c r="E18" i="4"/>
  <c r="F18" i="4" s="1"/>
  <c r="E14" i="4"/>
  <c r="F14" i="4" s="1"/>
  <c r="E12" i="4"/>
  <c r="F12" i="4" s="1"/>
  <c r="E10" i="4"/>
  <c r="F10" i="4" s="1"/>
  <c r="E7" i="4"/>
  <c r="F7" i="4" s="1"/>
  <c r="E6" i="4"/>
  <c r="F6" i="4" s="1"/>
  <c r="C34" i="4"/>
  <c r="F33" i="4"/>
  <c r="E34" i="4"/>
  <c r="G32" i="4"/>
  <c r="G33" i="4"/>
  <c r="G31" i="4"/>
  <c r="G29" i="4"/>
  <c r="G30" i="4"/>
  <c r="G26" i="4"/>
  <c r="G22" i="4"/>
  <c r="G24" i="4"/>
  <c r="E4" i="4"/>
  <c r="F4" i="4" s="1"/>
  <c r="D19" i="4"/>
  <c r="Q25" i="4"/>
  <c r="R25" i="4" s="1"/>
  <c r="C19" i="4"/>
  <c r="Q24" i="4"/>
  <c r="R24" i="4" s="1"/>
  <c r="D18" i="4"/>
  <c r="Q21" i="4"/>
  <c r="R21" i="4" s="1"/>
  <c r="C18" i="4"/>
  <c r="Q27" i="4"/>
  <c r="R27" i="4" s="1"/>
  <c r="D17" i="4"/>
  <c r="C17" i="4"/>
  <c r="Q26" i="4"/>
  <c r="R26" i="4" s="1"/>
  <c r="D16" i="4"/>
  <c r="Q23" i="4"/>
  <c r="R23" i="4" s="1"/>
  <c r="Q22" i="4"/>
  <c r="R22" i="4" s="1"/>
  <c r="C16" i="4"/>
  <c r="Q13" i="4"/>
  <c r="R13" i="4" s="1"/>
  <c r="D15" i="4"/>
  <c r="Q12" i="4"/>
  <c r="R12" i="4" s="1"/>
  <c r="C15" i="4"/>
  <c r="Q11" i="4"/>
  <c r="R11" i="4" s="1"/>
  <c r="D14" i="4"/>
  <c r="C14" i="4"/>
  <c r="D13" i="4"/>
  <c r="Q10" i="4"/>
  <c r="R10" i="4" s="1"/>
  <c r="C13" i="4"/>
  <c r="Q9" i="4"/>
  <c r="R9" i="4" s="1"/>
  <c r="Q6" i="4"/>
  <c r="R6" i="4" s="1"/>
  <c r="D12" i="4"/>
  <c r="C12" i="4"/>
  <c r="D11" i="4"/>
  <c r="Q16" i="4"/>
  <c r="R16" i="4" s="1"/>
  <c r="C11" i="4"/>
  <c r="Q15" i="4"/>
  <c r="R15" i="4" s="1"/>
  <c r="Q14" i="4"/>
  <c r="R14" i="4" s="1"/>
  <c r="D10" i="4"/>
  <c r="C10" i="4"/>
  <c r="Q20" i="4"/>
  <c r="R20" i="4" s="1"/>
  <c r="D9" i="4"/>
  <c r="Q19" i="4"/>
  <c r="R19" i="4" s="1"/>
  <c r="C9" i="4"/>
  <c r="Q18" i="4"/>
  <c r="R18" i="4" s="1"/>
  <c r="D8" i="4"/>
  <c r="C8" i="4"/>
  <c r="Q17" i="4"/>
  <c r="R17" i="4" s="1"/>
  <c r="D7" i="4"/>
  <c r="Q5" i="4"/>
  <c r="R5" i="4" s="1"/>
  <c r="C7" i="4"/>
  <c r="D6" i="4"/>
  <c r="C6" i="4"/>
  <c r="D5" i="4"/>
  <c r="Q8" i="4"/>
  <c r="R8" i="4" s="1"/>
  <c r="C5" i="4"/>
  <c r="Q7" i="4"/>
  <c r="R7" i="4" s="1"/>
  <c r="Q4" i="4"/>
  <c r="R4" i="4" s="1"/>
  <c r="D4" i="4"/>
  <c r="C4" i="4"/>
  <c r="G6" i="4" l="1"/>
  <c r="G13" i="4"/>
  <c r="F34" i="4"/>
  <c r="G34" i="4"/>
  <c r="G12" i="4"/>
  <c r="G17" i="4"/>
  <c r="G18" i="4"/>
  <c r="G19" i="4"/>
  <c r="G4" i="4"/>
  <c r="G9" i="4"/>
  <c r="G8" i="4"/>
  <c r="G14" i="4"/>
  <c r="G11" i="4"/>
  <c r="G5" i="4"/>
  <c r="G16" i="4"/>
  <c r="G15" i="4"/>
  <c r="G10" i="4"/>
  <c r="G7" i="4"/>
  <c r="C20" i="4"/>
  <c r="E20" i="4"/>
  <c r="L4" i="4"/>
  <c r="C28" i="4" l="1"/>
  <c r="G28" i="4" s="1"/>
  <c r="F20" i="4"/>
  <c r="L2" i="4" s="1"/>
  <c r="G20" i="4"/>
  <c r="L3" i="4" l="1"/>
</calcChain>
</file>

<file path=xl/sharedStrings.xml><?xml version="1.0" encoding="utf-8"?>
<sst xmlns="http://schemas.openxmlformats.org/spreadsheetml/2006/main" count="633" uniqueCount="229">
  <si>
    <t>2026 FIFA World Cup Pick'em Bracket</t>
  </si>
  <si>
    <t>Fill yellow pick cells from left to right. Organizer updates team names on Setup after group play.</t>
  </si>
  <si>
    <t>Score</t>
  </si>
  <si>
    <t>Round of 32</t>
  </si>
  <si>
    <t>Round of 16</t>
  </si>
  <si>
    <t>Final</t>
  </si>
  <si>
    <t>Game 1</t>
  </si>
  <si>
    <t>Game 17</t>
  </si>
  <si>
    <t>Game 2</t>
  </si>
  <si>
    <t>Game 25</t>
  </si>
  <si>
    <t>Game 3</t>
  </si>
  <si>
    <t>Game 18</t>
  </si>
  <si>
    <t>Game 4</t>
  </si>
  <si>
    <t>Game 29</t>
  </si>
  <si>
    <t>Game 5</t>
  </si>
  <si>
    <t>Game 19</t>
  </si>
  <si>
    <t>Game 6</t>
  </si>
  <si>
    <t>Game 26</t>
  </si>
  <si>
    <t>Game 7</t>
  </si>
  <si>
    <t>Game 20</t>
  </si>
  <si>
    <t>Game 8</t>
  </si>
  <si>
    <t>Game 31</t>
  </si>
  <si>
    <t>Game 9</t>
  </si>
  <si>
    <t>Game 21</t>
  </si>
  <si>
    <t>Game 10</t>
  </si>
  <si>
    <t>Game 27</t>
  </si>
  <si>
    <t>Game 11</t>
  </si>
  <si>
    <t>Game 22</t>
  </si>
  <si>
    <t>Game 12</t>
  </si>
  <si>
    <t>Game 30</t>
  </si>
  <si>
    <t>Game 13</t>
  </si>
  <si>
    <t>Game 23</t>
  </si>
  <si>
    <t>Game 14</t>
  </si>
  <si>
    <t>Game 28</t>
  </si>
  <si>
    <t>Game 15</t>
  </si>
  <si>
    <t>Game 24</t>
  </si>
  <si>
    <t>Game 16</t>
  </si>
  <si>
    <t>Round</t>
  </si>
  <si>
    <t>Points</t>
  </si>
  <si>
    <t>R32</t>
  </si>
  <si>
    <t>R16</t>
  </si>
  <si>
    <t>QF</t>
  </si>
  <si>
    <t>SF</t>
  </si>
  <si>
    <t>Mexico</t>
  </si>
  <si>
    <t>South Africa</t>
  </si>
  <si>
    <t>Switzerland</t>
  </si>
  <si>
    <t>Canada</t>
  </si>
  <si>
    <t>Bosnia and Herzegovina</t>
  </si>
  <si>
    <t>Brazil</t>
  </si>
  <si>
    <t>Morocco</t>
  </si>
  <si>
    <t>United States</t>
  </si>
  <si>
    <t>Germany</t>
  </si>
  <si>
    <t>Game</t>
  </si>
  <si>
    <t>Team A</t>
  </si>
  <si>
    <t>Team B</t>
  </si>
  <si>
    <t>Actual Winner</t>
  </si>
  <si>
    <t>Workbook Checks</t>
  </si>
  <si>
    <t>Summary</t>
  </si>
  <si>
    <t>Opening Team Checks</t>
  </si>
  <si>
    <t>Game 1 Team B</t>
  </si>
  <si>
    <t>Game 4 Team A</t>
  </si>
  <si>
    <t>Game 9 Team B</t>
  </si>
  <si>
    <t>Game 2 Team A</t>
  </si>
  <si>
    <t>Game 2 Team B</t>
  </si>
  <si>
    <t>Game 10 Team A</t>
  </si>
  <si>
    <t>Game 10 Team B</t>
  </si>
  <si>
    <t>Game 11 Team B</t>
  </si>
  <si>
    <t>Game 12 Team A</t>
  </si>
  <si>
    <t>Game 12 Team B</t>
  </si>
  <si>
    <t>Game 7 Team B</t>
  </si>
  <si>
    <t>Game 8 Team A</t>
  </si>
  <si>
    <t>Game 8 Team B</t>
  </si>
  <si>
    <t>Game 5 Team A</t>
  </si>
  <si>
    <t>Game 5 Team B</t>
  </si>
  <si>
    <t>Game 6 Team A</t>
  </si>
  <si>
    <t>Game 6 Team B</t>
  </si>
  <si>
    <t>Game 15 Team B</t>
  </si>
  <si>
    <t>Game 13 Team A</t>
  </si>
  <si>
    <t>Game 13 Team B</t>
  </si>
  <si>
    <t>Game 16 Team A</t>
  </si>
  <si>
    <t>Game 16 Team B</t>
  </si>
  <si>
    <t>Game 14 Team A</t>
  </si>
  <si>
    <t>Game 14 Team B</t>
  </si>
  <si>
    <t>Game Picks Left</t>
  </si>
  <si>
    <t>South Korea</t>
  </si>
  <si>
    <t>Netherlands</t>
  </si>
  <si>
    <t>France</t>
  </si>
  <si>
    <t>Scotland</t>
  </si>
  <si>
    <t>Ivory Coast</t>
  </si>
  <si>
    <t>England</t>
  </si>
  <si>
    <t>Belgium</t>
  </si>
  <si>
    <t>Portugal</t>
  </si>
  <si>
    <t>Spain</t>
  </si>
  <si>
    <t>Argentina</t>
  </si>
  <si>
    <t>Paraguay</t>
  </si>
  <si>
    <t>Pick</t>
  </si>
  <si>
    <t>Blank Flag</t>
  </si>
  <si>
    <t>Invalid Flag</t>
  </si>
  <si>
    <t>Pick Cell</t>
  </si>
  <si>
    <t>Candidate Range</t>
  </si>
  <si>
    <t>Invalid Picks</t>
  </si>
  <si>
    <t>Side</t>
  </si>
  <si>
    <t>Cell</t>
  </si>
  <si>
    <t>Selection</t>
  </si>
  <si>
    <t>Missing Flag</t>
  </si>
  <si>
    <t>Czechia</t>
  </si>
  <si>
    <t>Japan</t>
  </si>
  <si>
    <t>Senegal</t>
  </si>
  <si>
    <t>Haiti</t>
  </si>
  <si>
    <t>Ecuador</t>
  </si>
  <si>
    <t>Croatia</t>
  </si>
  <si>
    <t>Egypt</t>
  </si>
  <si>
    <t>DR Congo</t>
  </si>
  <si>
    <t>Cape Verde</t>
  </si>
  <si>
    <t>Algeria</t>
  </si>
  <si>
    <t>Australia</t>
  </si>
  <si>
    <t>D7</t>
  </si>
  <si>
    <t>B7:C7</t>
  </si>
  <si>
    <t>Team Picks Left</t>
  </si>
  <si>
    <t>C7</t>
  </si>
  <si>
    <t>Sweden</t>
  </si>
  <si>
    <t>Iraq</t>
  </si>
  <si>
    <t>Curacao</t>
  </si>
  <si>
    <t>Ghana</t>
  </si>
  <si>
    <t>Iran</t>
  </si>
  <si>
    <t>Uzbekistan</t>
  </si>
  <si>
    <t>Saudi Arabia</t>
  </si>
  <si>
    <t>Austria</t>
  </si>
  <si>
    <t>Turkey</t>
  </si>
  <si>
    <t>D9</t>
  </si>
  <si>
    <t>B9:C9</t>
  </si>
  <si>
    <t>B13</t>
  </si>
  <si>
    <t>Tunisia</t>
  </si>
  <si>
    <t>Norway</t>
  </si>
  <si>
    <t>Panama</t>
  </si>
  <si>
    <t>New Zealand</t>
  </si>
  <si>
    <t>Colombia</t>
  </si>
  <si>
    <t>Uruguay</t>
  </si>
  <si>
    <t>Jordan</t>
  </si>
  <si>
    <t>D11</t>
  </si>
  <si>
    <t>B11:C11</t>
  </si>
  <si>
    <t>C23</t>
  </si>
  <si>
    <t>D13</t>
  </si>
  <si>
    <t>B13:C13</t>
  </si>
  <si>
    <t>B9</t>
  </si>
  <si>
    <t>D15</t>
  </si>
  <si>
    <t>B15:C15</t>
  </si>
  <si>
    <t>C9</t>
  </si>
  <si>
    <t>D17</t>
  </si>
  <si>
    <t>B17:C17</t>
  </si>
  <si>
    <t>B25</t>
  </si>
  <si>
    <t>D19</t>
  </si>
  <si>
    <t>B19:C19</t>
  </si>
  <si>
    <t>C25</t>
  </si>
  <si>
    <t>D21</t>
  </si>
  <si>
    <t>B21:C21</t>
  </si>
  <si>
    <t>C27</t>
  </si>
  <si>
    <t>D23</t>
  </si>
  <si>
    <t>B23:C23</t>
  </si>
  <si>
    <t>B29</t>
  </si>
  <si>
    <t>D25</t>
  </si>
  <si>
    <t>B25:C25</t>
  </si>
  <si>
    <t>C29</t>
  </si>
  <si>
    <t>D27</t>
  </si>
  <si>
    <t>B27:C27</t>
  </si>
  <si>
    <t>C19</t>
  </si>
  <si>
    <t>D29</t>
  </si>
  <si>
    <t>B29:C29</t>
  </si>
  <si>
    <t>B21</t>
  </si>
  <si>
    <t>D31</t>
  </si>
  <si>
    <t>B31:C31</t>
  </si>
  <si>
    <t>C21</t>
  </si>
  <si>
    <t>D33</t>
  </si>
  <si>
    <t>B33:C33</t>
  </si>
  <si>
    <t>B15</t>
  </si>
  <si>
    <t>D35</t>
  </si>
  <si>
    <t>B35:C35</t>
  </si>
  <si>
    <t>C15</t>
  </si>
  <si>
    <t>D37</t>
  </si>
  <si>
    <t>B37:C37</t>
  </si>
  <si>
    <t>B17</t>
  </si>
  <si>
    <t>I8</t>
  </si>
  <si>
    <t>G8:H8</t>
  </si>
  <si>
    <t>C17</t>
  </si>
  <si>
    <t>I12</t>
  </si>
  <si>
    <t>G12:H12</t>
  </si>
  <si>
    <t>C35</t>
  </si>
  <si>
    <t>I16</t>
  </si>
  <si>
    <t>G16:H16</t>
  </si>
  <si>
    <t>B31</t>
  </si>
  <si>
    <t>I20</t>
  </si>
  <si>
    <t>G20:H20</t>
  </si>
  <si>
    <t>C31</t>
  </si>
  <si>
    <t>I24</t>
  </si>
  <si>
    <t>G24:H24</t>
  </si>
  <si>
    <t>B37</t>
  </si>
  <si>
    <t>I28</t>
  </si>
  <si>
    <t>G28:H28</t>
  </si>
  <si>
    <t>C37</t>
  </si>
  <si>
    <t>I32</t>
  </si>
  <si>
    <t>G32:H32</t>
  </si>
  <si>
    <t>B33</t>
  </si>
  <si>
    <t>I36</t>
  </si>
  <si>
    <t>G36:H36</t>
  </si>
  <si>
    <t>C33</t>
  </si>
  <si>
    <t>M10</t>
  </si>
  <si>
    <t>K10:L10</t>
  </si>
  <si>
    <t>M18</t>
  </si>
  <si>
    <t>K18:L18</t>
  </si>
  <si>
    <t>M26</t>
  </si>
  <si>
    <t>K26:L26</t>
  </si>
  <si>
    <t>M34</t>
  </si>
  <si>
    <t>K34:L34</t>
  </si>
  <si>
    <t>Q14</t>
  </si>
  <si>
    <t>O14:P14</t>
  </si>
  <si>
    <t>Q30</t>
  </si>
  <si>
    <t>O30:P30</t>
  </si>
  <si>
    <t>U22</t>
  </si>
  <si>
    <t>S22:T22</t>
  </si>
  <si>
    <t>Name</t>
  </si>
  <si>
    <t>Quarter Finals</t>
  </si>
  <si>
    <t>Semi Finals</t>
  </si>
  <si>
    <t>3rd D/E/I/J/L</t>
  </si>
  <si>
    <t>World Cup Winner</t>
  </si>
  <si>
    <t xml:space="preserve">Points </t>
  </si>
  <si>
    <t>Actual Goals</t>
  </si>
  <si>
    <t>3rd A/B/C/D/F</t>
  </si>
  <si>
    <t>Columbia</t>
  </si>
  <si>
    <t>Total Goals Scored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</si>
</sst>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i/>
      <sz val="10"/>
      <color rgb="FF17202A"/>
      <name val="Carlito"/>
    </font>
    <font>
      <b/>
      <sz val="11"/>
      <color rgb="FF17202A"/>
      <name val="Carlito"/>
    </font>
    <font>
      <b/>
      <sz val="11"/>
      <color rgb="FF1D4E89"/>
      <name val="Carlito"/>
    </font>
    <font>
      <b/>
      <sz val="11"/>
      <color rgb="FF0B5D3B"/>
      <name val="Carlito"/>
    </font>
    <font>
      <b/>
      <sz val="11"/>
      <color rgb="FFFFFFFF"/>
      <name val="Carlito"/>
    </font>
    <font>
      <sz val="11"/>
      <color rgb="FF17202A"/>
      <name val="Carlito"/>
    </font>
    <font>
      <sz val="11"/>
      <color rgb="FF9B1C1C"/>
      <name val="Carlito"/>
    </font>
    <font>
      <sz val="11"/>
      <color rgb="FF9C57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B5D3B"/>
      </patternFill>
    </fill>
    <fill>
      <patternFill patternType="solid">
        <fgColor rgb="FFFFF3C4"/>
      </patternFill>
    </fill>
    <fill>
      <patternFill patternType="solid">
        <fgColor rgb="FFDDEBFF"/>
      </patternFill>
    </fill>
    <fill>
      <patternFill patternType="solid">
        <fgColor rgb="FFDFF3E6"/>
      </patternFill>
    </fill>
    <fill>
      <patternFill patternType="solid">
        <fgColor rgb="FF1D4E89"/>
      </patternFill>
    </fill>
    <fill>
      <patternFill patternType="solid">
        <fgColor rgb="FFF4F6F8"/>
      </patternFill>
    </fill>
    <fill>
      <patternFill patternType="solid">
        <fgColor rgb="FFFCE4E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rgb="FF1D4E89"/>
      </left>
      <right/>
      <top style="medium">
        <color rgb="FF1D4E89"/>
      </top>
      <bottom style="medium">
        <color rgb="FF1D4E89"/>
      </bottom>
      <diagonal/>
    </border>
    <border>
      <left/>
      <right/>
      <top style="medium">
        <color rgb="FF1D4E89"/>
      </top>
      <bottom style="medium">
        <color rgb="FF1D4E89"/>
      </bottom>
      <diagonal/>
    </border>
    <border>
      <left/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 style="thin">
        <color rgb="FFAAB4C0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/>
      <diagonal/>
    </border>
    <border>
      <left style="medium">
        <color rgb="FF1D4E89"/>
      </left>
      <right style="medium">
        <color indexed="64"/>
      </right>
      <top style="medium">
        <color rgb="FF1D4E89"/>
      </top>
      <bottom style="medium">
        <color indexed="64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/>
      <diagonal/>
    </border>
    <border>
      <left style="medium">
        <color rgb="FFB48900"/>
      </left>
      <right style="medium">
        <color rgb="FFB48900"/>
      </right>
      <top/>
      <bottom/>
      <diagonal/>
    </border>
    <border>
      <left style="medium">
        <color rgb="FFB48900"/>
      </left>
      <right style="medium">
        <color rgb="FFB48900"/>
      </right>
      <top/>
      <bottom style="medium">
        <color rgb="FFB48900"/>
      </bottom>
      <diagonal/>
    </border>
    <border>
      <left style="medium">
        <color rgb="FF1D4E89"/>
      </left>
      <right/>
      <top style="medium">
        <color indexed="64"/>
      </top>
      <bottom style="medium">
        <color rgb="FF1D4E89"/>
      </bottom>
      <diagonal/>
    </border>
    <border>
      <left style="medium">
        <color rgb="FFB48900"/>
      </left>
      <right style="medium">
        <color rgb="FFD6A419"/>
      </right>
      <top style="medium">
        <color rgb="FFB48900"/>
      </top>
      <bottom style="medium">
        <color rgb="FFB48900"/>
      </bottom>
      <diagonal/>
    </border>
    <border>
      <left/>
      <right/>
      <top style="medium">
        <color rgb="FFB48900"/>
      </top>
      <bottom style="medium">
        <color rgb="FFB48900"/>
      </bottom>
      <diagonal/>
    </border>
    <border>
      <left/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/>
      <right/>
      <top style="thin">
        <color rgb="FFAAB4C0"/>
      </top>
      <bottom/>
      <diagonal/>
    </border>
    <border>
      <left/>
      <right/>
      <top/>
      <bottom style="thin">
        <color rgb="FFAAB4C0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9" fillId="9" borderId="0" applyNumberFormat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7" fillId="7" borderId="0" xfId="0" applyFont="1" applyFill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 applyAlignment="1">
      <alignment horizontal="center"/>
    </xf>
    <xf numFmtId="0" fontId="8" fillId="8" borderId="4" xfId="0" applyFont="1" applyFill="1" applyBorder="1"/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9" fillId="9" borderId="4" xfId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" fillId="10" borderId="5" xfId="0" applyFont="1" applyFill="1" applyBorder="1" applyAlignment="1">
      <alignment horizontal="left" vertical="center"/>
    </xf>
    <xf numFmtId="0" fontId="0" fillId="11" borderId="24" xfId="0" applyFill="1" applyBorder="1"/>
    <xf numFmtId="0" fontId="0" fillId="11" borderId="22" xfId="0" applyFill="1" applyBorder="1"/>
    <xf numFmtId="0" fontId="0" fillId="11" borderId="25" xfId="0" applyFill="1" applyBorder="1"/>
    <xf numFmtId="0" fontId="0" fillId="11" borderId="23" xfId="0" applyFill="1" applyBorder="1"/>
    <xf numFmtId="0" fontId="1" fillId="2" borderId="0" xfId="0" applyFont="1" applyFill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4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48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C3D0-F5F7-489E-98BA-6FDCD95FF2E9}">
  <dimension ref="A1:G47"/>
  <sheetViews>
    <sheetView showGridLines="0" tabSelected="1" zoomScaleNormal="100" workbookViewId="0">
      <selection activeCell="G19" sqref="G19:G29"/>
    </sheetView>
  </sheetViews>
  <sheetFormatPr defaultRowHeight="13.8"/>
  <cols>
    <col min="1" max="1" width="13.296875" customWidth="1"/>
    <col min="2" max="3" width="23" customWidth="1"/>
    <col min="4" max="4" width="22" customWidth="1"/>
    <col min="5" max="5" width="24.19921875" customWidth="1"/>
    <col min="6" max="6" width="25.3984375" customWidth="1"/>
    <col min="7" max="7" width="24" customWidth="1"/>
  </cols>
  <sheetData>
    <row r="1" spans="1:7" ht="22.05" customHeight="1">
      <c r="A1" s="26" t="s">
        <v>0</v>
      </c>
      <c r="B1" s="26"/>
      <c r="C1" s="26"/>
      <c r="D1" s="26"/>
      <c r="E1" s="26"/>
      <c r="F1" s="26"/>
      <c r="G1" s="26"/>
    </row>
    <row r="2" spans="1:7" ht="22.05" customHeight="1" thickBot="1">
      <c r="A2" s="1" t="s">
        <v>1</v>
      </c>
    </row>
    <row r="3" spans="1:7" ht="22.05" customHeight="1" thickBot="1">
      <c r="A3" s="2" t="s">
        <v>219</v>
      </c>
      <c r="B3" s="27"/>
      <c r="C3" s="28"/>
      <c r="D3" s="29"/>
      <c r="E3" s="2" t="s">
        <v>2</v>
      </c>
      <c r="F3" s="14">
        <f>SUM(B4:F4)</f>
        <v>3.8000000000000003</v>
      </c>
    </row>
    <row r="4" spans="1:7" ht="22.05" customHeight="1" thickBot="1">
      <c r="A4" s="2" t="s">
        <v>38</v>
      </c>
      <c r="B4" s="22">
        <f>IF(B5=SUM(Results!F2:F17),1,1-ABS((B5-SUM(Results!F2:F17))*0.1))+IF(Bracket!C9=Results!E2,Results!G2,0)+IF(Bracket!C11=Results!E3,Results!G3,0)+IF(Bracket!C13=Results!E4,Results!G4,0)+IF(Bracket!C15=Results!E5,Results!G5,0)+IF(Bracket!C17=Results!E6,Results!G6,0)+IF(Bracket!C19=Results!E7,Results!G7,0)+IF(Bracket!C21=Results!E8,Results!G8,0)+IF(Bracket!C23=Results!E9,Results!G9,0)+IF(Bracket!C25=Results!E10,Results!G10,0)+IF(Bracket!C27=Results!E11,Results!G11,0)+IF(Bracket!C29=Results!E12,Results!G12,0)+IF(Bracket!C31=Results!E13,Results!G13,0)+IF(Bracket!C33=Results!E14,Results!G14,0)+IF(Bracket!C35=Results!E15,Results!G15,0)+IF(Bracket!C37=Results!E16,Results!G16,0)+IF(Bracket!C39=Results!E17,Results!G17,0)</f>
        <v>1</v>
      </c>
      <c r="C4" s="23">
        <f>IF(C5=SUM(Results!F18:F25),1,1-ABS((C5-SUM(Results!F18:F25))*0.1))+IF(Bracket!D10=Results!E18,Results!G18,0)+IF(Bracket!D14=Results!E19,Results!G19,0)+IF(Bracket!D18=Results!E20,Results!G20,0)+IF(Bracket!D22=Results!E21,Results!G21,0)+IF(Bracket!D26=Results!E22,Results!G22,0)+IF(Bracket!D30=Results!E23,Results!G23,0)+IF(Bracket!D34=Results!E24,Results!G24,0)+IF(Bracket!D38=Results!E25,Results!G25,0)</f>
        <v>0.6</v>
      </c>
      <c r="D4" s="24">
        <f>IF(D5=SUM(Results!F26:F29),1,1-ABS((D5-SUM(Results!F26:F29))*0.1))+IF(E11=Results!E26,Results!G26,0)+IF(Bracket!E19=Results!E27,Results!G27,0)+IF(Bracket!E27=Results!E28,Results!G28,0)+IF(Bracket!E35=Results!E29,Results!G29,0)</f>
        <v>0.6</v>
      </c>
      <c r="E4" s="23">
        <f>IF(E5=SUM(Results!F30:F31),1,1-ABS((E5-SUM(Results!F30:F31))*0.1))+IF(Bracket!F14=Results!E30,Results!G30,0)+IF(Bracket!F30=Results!E31,Results!G31,0)</f>
        <v>0.6</v>
      </c>
      <c r="F4" s="25">
        <f>IF(F5=SUM(Results!F32),1,1-ABS((F5-SUM(Results!F32))*0.1))+IF(G19=Results!E32,Results!G32,0)</f>
        <v>1</v>
      </c>
    </row>
    <row r="5" spans="1:7" ht="22.05" customHeight="1" thickBot="1">
      <c r="A5" s="2" t="s">
        <v>228</v>
      </c>
      <c r="B5" s="19">
        <v>96</v>
      </c>
      <c r="C5" s="17">
        <v>44</v>
      </c>
      <c r="D5" s="20">
        <v>20</v>
      </c>
      <c r="E5" s="17">
        <v>8</v>
      </c>
      <c r="F5" s="18">
        <v>6</v>
      </c>
    </row>
    <row r="6" spans="1:7" ht="22.05" customHeight="1"/>
    <row r="7" spans="1:7" ht="22.05" customHeight="1" thickBot="1"/>
    <row r="8" spans="1:7" ht="22.05" customHeight="1" thickBot="1">
      <c r="A8" s="35" t="s">
        <v>3</v>
      </c>
      <c r="B8" s="36"/>
      <c r="C8" s="15" t="s">
        <v>4</v>
      </c>
      <c r="D8" s="15" t="s">
        <v>220</v>
      </c>
      <c r="E8" s="15" t="s">
        <v>221</v>
      </c>
      <c r="F8" s="15" t="s">
        <v>5</v>
      </c>
      <c r="G8" s="15" t="s">
        <v>223</v>
      </c>
    </row>
    <row r="9" spans="1:7" ht="22.05" customHeight="1" thickBot="1">
      <c r="A9" s="37" t="s">
        <v>6</v>
      </c>
      <c r="B9" s="21" t="s">
        <v>51</v>
      </c>
      <c r="C9" s="11" t="s">
        <v>51</v>
      </c>
    </row>
    <row r="10" spans="1:7" ht="22.05" customHeight="1" thickBot="1">
      <c r="A10" s="34"/>
      <c r="B10" s="4" t="s">
        <v>94</v>
      </c>
      <c r="D10" s="11" t="s">
        <v>86</v>
      </c>
    </row>
    <row r="11" spans="1:7" ht="22.05" customHeight="1" thickBot="1">
      <c r="A11" s="33" t="s">
        <v>8</v>
      </c>
      <c r="B11" s="12" t="s">
        <v>86</v>
      </c>
      <c r="C11" s="11" t="s">
        <v>86</v>
      </c>
      <c r="E11" s="30" t="s">
        <v>86</v>
      </c>
    </row>
    <row r="12" spans="1:7" ht="22.05" customHeight="1" thickBot="1">
      <c r="A12" s="34"/>
      <c r="B12" s="4" t="s">
        <v>120</v>
      </c>
      <c r="E12" s="31"/>
    </row>
    <row r="13" spans="1:7" ht="22.05" customHeight="1" thickBot="1">
      <c r="A13" s="33" t="s">
        <v>10</v>
      </c>
      <c r="B13" s="21" t="s">
        <v>44</v>
      </c>
      <c r="C13" s="11" t="s">
        <v>46</v>
      </c>
      <c r="E13" s="32"/>
    </row>
    <row r="14" spans="1:7" ht="22.05" customHeight="1" thickBot="1">
      <c r="A14" s="34"/>
      <c r="B14" s="21" t="s">
        <v>46</v>
      </c>
      <c r="D14" s="11" t="s">
        <v>85</v>
      </c>
      <c r="F14" s="30" t="s">
        <v>86</v>
      </c>
    </row>
    <row r="15" spans="1:7" ht="22.05" customHeight="1" thickBot="1">
      <c r="A15" s="33" t="s">
        <v>12</v>
      </c>
      <c r="B15" s="21" t="str">
        <f>Results!C5</f>
        <v>Netherlands</v>
      </c>
      <c r="C15" s="11" t="s">
        <v>85</v>
      </c>
      <c r="F15" s="31"/>
    </row>
    <row r="16" spans="1:7" ht="22.05" customHeight="1" thickBot="1">
      <c r="A16" s="34"/>
      <c r="B16" s="21" t="s">
        <v>49</v>
      </c>
      <c r="F16" s="31"/>
    </row>
    <row r="17" spans="1:7" ht="22.05" customHeight="1" thickBot="1">
      <c r="A17" s="33" t="s">
        <v>14</v>
      </c>
      <c r="B17" s="12" t="s">
        <v>136</v>
      </c>
      <c r="C17" s="11" t="s">
        <v>136</v>
      </c>
      <c r="F17" s="31"/>
    </row>
    <row r="18" spans="1:7" ht="22.05" customHeight="1" thickBot="1">
      <c r="A18" s="34"/>
      <c r="B18" s="4" t="s">
        <v>110</v>
      </c>
      <c r="D18" s="11" t="s">
        <v>92</v>
      </c>
      <c r="F18" s="32"/>
    </row>
    <row r="19" spans="1:7" ht="22.05" customHeight="1" thickBot="1">
      <c r="A19" s="33" t="s">
        <v>16</v>
      </c>
      <c r="B19" s="12" t="s">
        <v>92</v>
      </c>
      <c r="C19" s="11" t="s">
        <v>92</v>
      </c>
      <c r="E19" s="30" t="s">
        <v>92</v>
      </c>
      <c r="G19" s="30" t="s">
        <v>86</v>
      </c>
    </row>
    <row r="20" spans="1:7" ht="22.05" customHeight="1" thickBot="1">
      <c r="A20" s="34"/>
      <c r="B20" s="4" t="s">
        <v>127</v>
      </c>
      <c r="E20" s="31"/>
      <c r="G20" s="31"/>
    </row>
    <row r="21" spans="1:7" ht="22.05" customHeight="1" thickBot="1">
      <c r="A21" s="33" t="s">
        <v>18</v>
      </c>
      <c r="B21" s="21" t="s">
        <v>50</v>
      </c>
      <c r="C21" s="11" t="s">
        <v>50</v>
      </c>
      <c r="E21" s="32"/>
      <c r="G21" s="31"/>
    </row>
    <row r="22" spans="1:7" ht="22.05" customHeight="1" thickBot="1">
      <c r="A22" s="34"/>
      <c r="B22" s="21" t="str">
        <f>Results!D8</f>
        <v>Bosnia and Herzegovina</v>
      </c>
      <c r="D22" s="11" t="s">
        <v>50</v>
      </c>
      <c r="G22" s="31"/>
    </row>
    <row r="23" spans="1:7" ht="22.05" customHeight="1" thickBot="1">
      <c r="A23" s="33" t="s">
        <v>20</v>
      </c>
      <c r="B23" s="12" t="s">
        <v>111</v>
      </c>
      <c r="C23" s="11" t="s">
        <v>111</v>
      </c>
      <c r="G23" s="31"/>
    </row>
    <row r="24" spans="1:7" ht="22.05" customHeight="1" thickBot="1">
      <c r="A24" s="34"/>
      <c r="B24" s="4" t="s">
        <v>84</v>
      </c>
      <c r="G24" s="31"/>
    </row>
    <row r="25" spans="1:7" ht="22.05" customHeight="1" thickBot="1">
      <c r="A25" s="33" t="s">
        <v>22</v>
      </c>
      <c r="B25" s="21" t="s">
        <v>48</v>
      </c>
      <c r="C25" s="11" t="s">
        <v>48</v>
      </c>
      <c r="G25" s="31"/>
    </row>
    <row r="26" spans="1:7" ht="22.05" customHeight="1" thickBot="1">
      <c r="A26" s="34"/>
      <c r="B26" s="21" t="str">
        <f>Results!D10</f>
        <v>Japan</v>
      </c>
      <c r="D26" s="11" t="s">
        <v>48</v>
      </c>
      <c r="G26" s="31"/>
    </row>
    <row r="27" spans="1:7" ht="22.05" customHeight="1" thickBot="1">
      <c r="A27" s="33" t="s">
        <v>24</v>
      </c>
      <c r="B27" s="21" t="s">
        <v>88</v>
      </c>
      <c r="C27" s="11" t="s">
        <v>133</v>
      </c>
      <c r="E27" s="30" t="s">
        <v>43</v>
      </c>
      <c r="G27" s="31"/>
    </row>
    <row r="28" spans="1:7" ht="22.05" customHeight="1" thickBot="1">
      <c r="A28" s="34"/>
      <c r="B28" s="9" t="s">
        <v>133</v>
      </c>
      <c r="E28" s="31"/>
      <c r="G28" s="31"/>
    </row>
    <row r="29" spans="1:7" ht="22.05" customHeight="1" thickBot="1">
      <c r="A29" s="33" t="s">
        <v>26</v>
      </c>
      <c r="B29" s="21" t="s">
        <v>43</v>
      </c>
      <c r="C29" s="11" t="s">
        <v>43</v>
      </c>
      <c r="E29" s="32"/>
      <c r="G29" s="32"/>
    </row>
    <row r="30" spans="1:7" ht="22.05" customHeight="1" thickBot="1">
      <c r="A30" s="34"/>
      <c r="B30" s="10" t="s">
        <v>109</v>
      </c>
      <c r="D30" s="11" t="s">
        <v>43</v>
      </c>
      <c r="F30" s="30" t="s">
        <v>93</v>
      </c>
    </row>
    <row r="31" spans="1:7" ht="22.05" customHeight="1" thickBot="1">
      <c r="A31" s="33" t="s">
        <v>28</v>
      </c>
      <c r="B31" s="13" t="s">
        <v>89</v>
      </c>
      <c r="C31" s="11" t="s">
        <v>89</v>
      </c>
      <c r="F31" s="31"/>
    </row>
    <row r="32" spans="1:7" ht="22.05" customHeight="1" thickBot="1">
      <c r="A32" s="34"/>
      <c r="B32" s="10" t="s">
        <v>112</v>
      </c>
      <c r="F32" s="31"/>
    </row>
    <row r="33" spans="1:6" ht="22.05" customHeight="1" thickBot="1">
      <c r="A33" s="33" t="s">
        <v>30</v>
      </c>
      <c r="B33" s="21" t="s">
        <v>93</v>
      </c>
      <c r="C33" s="11" t="s">
        <v>93</v>
      </c>
      <c r="F33" s="31"/>
    </row>
    <row r="34" spans="1:6" ht="22.05" customHeight="1" thickBot="1">
      <c r="A34" s="34"/>
      <c r="B34" s="10" t="s">
        <v>113</v>
      </c>
      <c r="D34" s="11" t="s">
        <v>93</v>
      </c>
      <c r="F34" s="32"/>
    </row>
    <row r="35" spans="1:6" ht="22.05" customHeight="1" thickBot="1">
      <c r="A35" s="33" t="s">
        <v>32</v>
      </c>
      <c r="B35" s="21" t="str">
        <f>Results!C15</f>
        <v>Australia</v>
      </c>
      <c r="C35" s="11" t="s">
        <v>90</v>
      </c>
      <c r="E35" s="30" t="s">
        <v>93</v>
      </c>
    </row>
    <row r="36" spans="1:6" ht="22.05" customHeight="1" thickBot="1">
      <c r="A36" s="34"/>
      <c r="B36" s="10" t="s">
        <v>90</v>
      </c>
      <c r="E36" s="31"/>
    </row>
    <row r="37" spans="1:6" ht="22.05" customHeight="1" thickBot="1">
      <c r="A37" s="33" t="s">
        <v>34</v>
      </c>
      <c r="B37" s="21" t="s">
        <v>45</v>
      </c>
      <c r="C37" s="11" t="s">
        <v>45</v>
      </c>
      <c r="E37" s="32"/>
    </row>
    <row r="38" spans="1:6" ht="22.05" customHeight="1" thickBot="1">
      <c r="A38" s="34"/>
      <c r="B38" s="10" t="s">
        <v>124</v>
      </c>
      <c r="D38" s="11" t="s">
        <v>91</v>
      </c>
    </row>
    <row r="39" spans="1:6" ht="22.05" customHeight="1" thickBot="1">
      <c r="A39" s="33" t="s">
        <v>36</v>
      </c>
      <c r="B39" s="13" t="s">
        <v>91</v>
      </c>
      <c r="C39" s="11" t="s">
        <v>91</v>
      </c>
    </row>
    <row r="40" spans="1:6" ht="22.05" customHeight="1" thickBot="1">
      <c r="A40" s="34"/>
      <c r="B40" s="10" t="s">
        <v>123</v>
      </c>
    </row>
    <row r="41" spans="1:6" ht="22.05" customHeight="1"/>
    <row r="42" spans="1:6" ht="22.05" customHeight="1"/>
    <row r="43" spans="1:6" ht="22.05" customHeight="1"/>
    <row r="44" spans="1:6" ht="22.05" customHeight="1"/>
    <row r="45" spans="1:6" ht="22.05" customHeight="1"/>
    <row r="46" spans="1:6" ht="22.05" customHeight="1"/>
    <row r="47" spans="1:6" ht="22.05" customHeight="1"/>
  </sheetData>
  <mergeCells count="26">
    <mergeCell ref="A39:A40"/>
    <mergeCell ref="E35:E37"/>
    <mergeCell ref="A9:A10"/>
    <mergeCell ref="A11:A12"/>
    <mergeCell ref="A13:A14"/>
    <mergeCell ref="A15:A16"/>
    <mergeCell ref="A17:A18"/>
    <mergeCell ref="A19:A20"/>
    <mergeCell ref="A21:A22"/>
    <mergeCell ref="A23:A24"/>
    <mergeCell ref="A31:A32"/>
    <mergeCell ref="A33:A34"/>
    <mergeCell ref="A35:A36"/>
    <mergeCell ref="A37:A38"/>
    <mergeCell ref="A1:G1"/>
    <mergeCell ref="B3:D3"/>
    <mergeCell ref="E11:E13"/>
    <mergeCell ref="F14:F18"/>
    <mergeCell ref="E19:E21"/>
    <mergeCell ref="G19:G29"/>
    <mergeCell ref="E27:E29"/>
    <mergeCell ref="A25:A26"/>
    <mergeCell ref="A27:A28"/>
    <mergeCell ref="A29:A30"/>
    <mergeCell ref="A8:B8"/>
    <mergeCell ref="F30:F34"/>
  </mergeCells>
  <conditionalFormatting sqref="B9 B13:B16 B21:B22 B25:B27 B29 B33 B35 B37">
    <cfRule type="duplicateValues" dxfId="40" priority="43"/>
  </conditionalFormatting>
  <conditionalFormatting sqref="B10">
    <cfRule type="duplicateValues" dxfId="39" priority="9"/>
  </conditionalFormatting>
  <conditionalFormatting sqref="B11:B12">
    <cfRule type="duplicateValues" dxfId="38" priority="8"/>
  </conditionalFormatting>
  <conditionalFormatting sqref="B17:B20">
    <cfRule type="duplicateValues" dxfId="37" priority="7"/>
  </conditionalFormatting>
  <conditionalFormatting sqref="B23:B24">
    <cfRule type="duplicateValues" dxfId="36" priority="6"/>
  </conditionalFormatting>
  <conditionalFormatting sqref="B28">
    <cfRule type="duplicateValues" dxfId="35" priority="5"/>
  </conditionalFormatting>
  <conditionalFormatting sqref="B30:B32">
    <cfRule type="duplicateValues" dxfId="34" priority="4"/>
  </conditionalFormatting>
  <conditionalFormatting sqref="B34">
    <cfRule type="duplicateValues" dxfId="33" priority="3"/>
  </conditionalFormatting>
  <conditionalFormatting sqref="B36">
    <cfRule type="duplicateValues" dxfId="32" priority="2"/>
  </conditionalFormatting>
  <conditionalFormatting sqref="B38:B40">
    <cfRule type="duplicateValues" dxfId="31" priority="1"/>
  </conditionalFormatting>
  <dataValidations count="31">
    <dataValidation type="list" sqref="G19" xr:uid="{4E714A22-A3B9-4195-B385-28A47D21AC4A}">
      <formula1>$F$14:$F$30</formula1>
    </dataValidation>
    <dataValidation type="list" sqref="F30" xr:uid="{5EA3A1A0-3369-433F-ABA7-B117BAD37DFE}">
      <formula1>$E$27:$E$35</formula1>
    </dataValidation>
    <dataValidation type="list" sqref="F14" xr:uid="{0FC42065-F298-4567-866D-96106887281B}">
      <formula1>$E$11:$E$19</formula1>
    </dataValidation>
    <dataValidation type="list" sqref="E35" xr:uid="{28EC186B-3731-4A83-97E2-24CE37583845}">
      <formula1>$D$34:$D$38</formula1>
    </dataValidation>
    <dataValidation type="list" sqref="E27" xr:uid="{04D7A981-46F2-40A0-8DE2-9BDEA46B91C2}">
      <formula1>$D$26:$D$30</formula1>
    </dataValidation>
    <dataValidation type="list" sqref="E19" xr:uid="{B8818320-378F-4954-8CC4-DA10F2523015}">
      <formula1>$D$18:$D$22</formula1>
    </dataValidation>
    <dataValidation type="list" sqref="E11" xr:uid="{B189A373-97BF-44E8-B6CF-6DD08B546158}">
      <formula1>$D$10:$D$14</formula1>
    </dataValidation>
    <dataValidation type="list" sqref="D38" xr:uid="{CC3AA932-FB8D-4C24-BFBD-B85C6E33A2E5}">
      <formula1>$C$37:$C$39</formula1>
    </dataValidation>
    <dataValidation type="list" sqref="D34" xr:uid="{9910BF67-A62A-48A1-B590-CAFA1BD40F00}">
      <formula1>$C$33:$C$35</formula1>
    </dataValidation>
    <dataValidation type="list" sqref="D30" xr:uid="{7B4D47AC-B855-419F-A9A0-19E2466CA4E3}">
      <formula1>$C$29:$C$31</formula1>
    </dataValidation>
    <dataValidation type="list" sqref="D26" xr:uid="{47CEC3F0-033F-494C-AF50-5040D641E35C}">
      <formula1>$C$25:$C$27</formula1>
    </dataValidation>
    <dataValidation type="list" sqref="D22" xr:uid="{B952B586-DD9B-4E0A-9CBC-8A712CC2B811}">
      <formula1>$C$21:$C$23</formula1>
    </dataValidation>
    <dataValidation type="list" sqref="D18" xr:uid="{728FD37B-B738-4ABB-B952-4074800BDEC0}">
      <formula1>$C$17:$C$19</formula1>
    </dataValidation>
    <dataValidation type="list" sqref="D14" xr:uid="{CF53C1A6-99D4-4956-8E4B-58209D8EF554}">
      <formula1>$C$13:$C$15</formula1>
    </dataValidation>
    <dataValidation type="list" sqref="D10" xr:uid="{5404A487-0266-4D59-BE99-4585F4953698}">
      <formula1>$C$9:$C$11</formula1>
    </dataValidation>
    <dataValidation type="list" sqref="C39" xr:uid="{AA09C31A-E8AB-4D8A-88D8-920CE2FACD12}">
      <formula1>$B$39:$B$40</formula1>
    </dataValidation>
    <dataValidation type="list" sqref="C37" xr:uid="{6E959271-6753-42B8-BBF7-F6BCE7D72B7F}">
      <formula1>$B$37:$B$38</formula1>
    </dataValidation>
    <dataValidation type="list" sqref="C35" xr:uid="{C5503F25-D4DD-44AD-B677-866138484A01}">
      <formula1>$B$35:$B$36</formula1>
    </dataValidation>
    <dataValidation type="list" sqref="C33" xr:uid="{9BFED9F1-C384-495C-96AD-F5DE723CF878}">
      <formula1>$B$33:$B$34</formula1>
    </dataValidation>
    <dataValidation type="list" sqref="C31" xr:uid="{1C3F2E85-C1AF-4E5D-970A-9831BF9858A6}">
      <formula1>$B$31:$B$32</formula1>
    </dataValidation>
    <dataValidation type="list" sqref="C29" xr:uid="{78FC384E-F5A6-4564-918F-29A953CE404C}">
      <formula1>$B$29:$B$30</formula1>
    </dataValidation>
    <dataValidation type="list" sqref="C27" xr:uid="{25EA8B0D-D45F-4FE2-B3FE-FCA479C81F8E}">
      <formula1>$B$27:$B$28</formula1>
    </dataValidation>
    <dataValidation type="list" sqref="C25" xr:uid="{7977D3D2-CEE2-442A-85EB-7B3B56AE44BE}">
      <formula1>$B$25:$B$26</formula1>
    </dataValidation>
    <dataValidation type="list" sqref="C23" xr:uid="{DFE51332-312D-4750-89CC-8C4CC7123543}">
      <formula1>$B$23:$B$24</formula1>
    </dataValidation>
    <dataValidation type="list" sqref="C21" xr:uid="{59D8C4C8-E73E-406D-A112-8531A526A386}">
      <formula1>$B$21:$B$22</formula1>
    </dataValidation>
    <dataValidation type="list" sqref="C19" xr:uid="{391E2B5F-F606-4817-A059-0FBC62DD8C73}">
      <formula1>$B$19:$B$20</formula1>
    </dataValidation>
    <dataValidation type="list" sqref="C17" xr:uid="{68755669-E338-40A7-9176-D98C9EB1979A}">
      <formula1>$B$17:$B$18</formula1>
    </dataValidation>
    <dataValidation type="list" sqref="C15" xr:uid="{10C930F7-47CF-4D6C-B22B-CCA5C8DC3E9D}">
      <formula1>$B$15:$B$16</formula1>
    </dataValidation>
    <dataValidation type="list" sqref="C13" xr:uid="{C9D1473B-4A4F-4974-B7C6-06E688ED5535}">
      <formula1>$B$13:$B$14</formula1>
    </dataValidation>
    <dataValidation type="list" sqref="C11" xr:uid="{4CB35B2B-1F04-4228-A4DE-F38515F60CC2}">
      <formula1>$B$11:$B$12</formula1>
    </dataValidation>
    <dataValidation type="list" sqref="C9" xr:uid="{9E667F5D-B344-46CB-B17E-CF3EBDBDBC18}">
      <formula1>$B$9:$B$10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2" operator="equal" id="{377E1CAB-11FB-485A-80A5-E70BB987F9F7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41" operator="equal" id="{2D6C6AFF-3D7E-4D28-B2BC-C7AAE015574B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40" operator="equal" id="{95B2D26C-7E9D-4146-8FE6-06B95B64AB9C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39" operator="equal" id="{FC3D8E1E-F1FD-47A1-A95C-078D16A7441D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37" operator="equal" id="{39091EAB-1807-4027-BB6F-F8F2552A7BEB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36" operator="equal" id="{3DE7F54D-6EFE-49E8-9828-7333A206A146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35" operator="equal" id="{B0F6E9E9-8D35-424C-B0DA-FDB4E09F8421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34" operator="equal" id="{13FC1985-9BEA-4C55-8A09-B7FE36000EE6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33" operator="equal" id="{D6E8AE1C-96BC-4443-87ED-EED97BA64A1D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32" operator="equal" id="{416A7D7C-897F-47E1-A7C3-13B8BA991FF9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31" operator="equal" id="{F8CA92DA-2D9E-4558-B760-A3B875731438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30" operator="equal" id="{CD4374A6-B702-48DB-9208-0A4CA021033B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9" operator="equal" id="{66278258-4185-4499-89DB-30F640336C76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8" operator="equal" id="{CB88E6E7-9BB4-4F73-8E87-90BD7BF7D900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7" operator="equal" id="{4D7851AC-5979-41FB-ACE7-0A0262B6A408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6" operator="equal" id="{B2E51A24-3386-4DF7-96FE-AFEC165A6010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5" operator="equal" id="{24135056-1037-4180-B055-30B0447A94CD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4" operator="equal" id="{B1A9F15B-428D-465D-8DAA-ED3B8C132079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22" operator="equal" id="{62B1E9B1-B911-439E-8C46-38E1D96ABB90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21" operator="equal" id="{63C7A0EB-876E-407E-A4A0-249920316CA1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20" operator="equal" id="{0D8D0CB6-D7DB-49B3-9228-353F34763695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19" operator="equal" id="{1CB5AD51-3E23-42ED-BB4C-489F122850EC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18" operator="equal" id="{B974DF61-2EF5-4691-BC37-0AD429FC6830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17" operator="equal" id="{F3795A74-E8C4-4DD0-B457-96DFF5CC51EE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16" operator="equal" id="{DC80CA71-69D3-43F3-93FA-3B82EE6C747F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15" operator="equal" id="{42B0F896-0A7C-40C7-89B9-8E66F22031F1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14" operator="equal" id="{38A81A28-BF88-4359-B679-1A1B99A3C428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13" operator="equal" id="{9D239FFD-510A-40C0-8909-43E1C5B109EC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12" operator="equal" id="{FB7F9C62-D839-49BC-A8D7-1BC654AEF0BC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11" operator="equal" id="{CAF7D2D7-E37A-4DE1-AC75-F416ECFC4AE6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10" operator="equal" id="{1872D3A0-9D9A-4671-900E-BEA6E3BFC218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8">
        <x14:dataValidation type="list" xr:uid="{BC71381E-DFBE-4EA6-889D-1022EEF6E4AD}">
          <x14:formula1>
            <xm:f>Teams!$AA$2:$AA$13</xm:f>
          </x14:formula1>
          <xm:sqref>B10</xm:sqref>
        </x14:dataValidation>
        <x14:dataValidation type="list" xr:uid="{C48A9DB7-EA0D-4C27-AC1E-9EC4169194D9}">
          <x14:formula1>
            <xm:f>Teams!$AD$2:$AD$5</xm:f>
          </x14:formula1>
          <xm:sqref>B11</xm:sqref>
        </x14:dataValidation>
        <x14:dataValidation type="list" xr:uid="{5E26C96C-26E1-44EF-B31B-B39B07C6FD3C}">
          <x14:formula1>
            <xm:f>Teams!$AE$2:$AE$18</xm:f>
          </x14:formula1>
          <xm:sqref>B12</xm:sqref>
        </x14:dataValidation>
        <x14:dataValidation type="list" xr:uid="{98AAB21E-B2A6-46A5-9D52-AFD8B8425473}">
          <x14:formula1>
            <xm:f>Teams!$AN$2:$AN$5</xm:f>
          </x14:formula1>
          <xm:sqref>B17</xm:sqref>
        </x14:dataValidation>
        <x14:dataValidation type="list" xr:uid="{6ABC919A-BC43-4FDD-996D-C205074136AF}">
          <x14:formula1>
            <xm:f>Teams!$AO$2:$AO$5</xm:f>
          </x14:formula1>
          <xm:sqref>B18</xm:sqref>
        </x14:dataValidation>
        <x14:dataValidation type="list" xr:uid="{A7A41961-9C92-47E8-905D-E0AE3C429677}">
          <x14:formula1>
            <xm:f>Teams!$AP$2:$AP$5</xm:f>
          </x14:formula1>
          <xm:sqref>B19</xm:sqref>
        </x14:dataValidation>
        <x14:dataValidation type="list" xr:uid="{5901E2A3-2724-4B2B-ADC6-664C348305B7}">
          <x14:formula1>
            <xm:f>Teams!$AQ$2:$AQ$5</xm:f>
          </x14:formula1>
          <xm:sqref>B20</xm:sqref>
        </x14:dataValidation>
        <x14:dataValidation type="list" xr:uid="{D0686847-94C2-447D-8770-6BF68EE2CDED}">
          <x14:formula1>
            <xm:f>Teams!$AL$2:$AL$5</xm:f>
          </x14:formula1>
          <xm:sqref>B23</xm:sqref>
        </x14:dataValidation>
        <x14:dataValidation type="list" xr:uid="{1E9BC1E3-1E4D-49E2-B7B3-10B88119DA69}">
          <x14:formula1>
            <xm:f>Teams!$AM$2:$AM$18</xm:f>
          </x14:formula1>
          <xm:sqref>B24</xm:sqref>
        </x14:dataValidation>
        <x14:dataValidation type="list" xr:uid="{0656C00D-05BE-4646-9012-17CD4C633DD9}">
          <x14:formula1>
            <xm:f>Teams!$AG$2:$AG$5</xm:f>
          </x14:formula1>
          <xm:sqref>B28</xm:sqref>
        </x14:dataValidation>
        <x14:dataValidation type="list" xr:uid="{95A077F9-3A0B-4206-8FFB-26636C7ED0AF}">
          <x14:formula1>
            <xm:f>Teams!$AH$2:$AH$18</xm:f>
          </x14:formula1>
          <xm:sqref>B30</xm:sqref>
        </x14:dataValidation>
        <x14:dataValidation type="list" xr:uid="{852C4D95-378C-4CAC-ACE2-371356A29ABA}">
          <x14:formula1>
            <xm:f>Teams!$AI$2:$AI$5</xm:f>
          </x14:formula1>
          <xm:sqref>B31</xm:sqref>
        </x14:dataValidation>
        <x14:dataValidation type="list" xr:uid="{428324DB-1639-45B9-8EE9-64CC3941A12C}">
          <x14:formula1>
            <xm:f>Teams!$AJ$2:$AJ$20</xm:f>
          </x14:formula1>
          <xm:sqref>B32</xm:sqref>
        </x14:dataValidation>
        <x14:dataValidation type="list" xr:uid="{A0254FA1-63B8-44B6-9F2C-FA890B343C6C}">
          <x14:formula1>
            <xm:f>Teams!$AT$2:$AT$5</xm:f>
          </x14:formula1>
          <xm:sqref>B34</xm:sqref>
        </x14:dataValidation>
        <x14:dataValidation type="list" xr:uid="{FCF00892-1315-4D5D-BE48-561A0AD86298}">
          <x14:formula1>
            <xm:f>Teams!$AX$2:$AX$5</xm:f>
          </x14:formula1>
          <xm:sqref>B36</xm:sqref>
        </x14:dataValidation>
        <x14:dataValidation type="list" xr:uid="{12BBA726-A85D-4AC1-AF1F-7F40BD1EC55A}">
          <x14:formula1>
            <xm:f>Teams!$AR$2:$AR$20</xm:f>
          </x14:formula1>
          <xm:sqref>B38</xm:sqref>
        </x14:dataValidation>
        <x14:dataValidation type="list" xr:uid="{6ECE79AE-A1AC-408C-8426-44F0EA57B9D0}">
          <x14:formula1>
            <xm:f>Teams!$AU$2:$AU$5</xm:f>
          </x14:formula1>
          <xm:sqref>B39</xm:sqref>
        </x14:dataValidation>
        <x14:dataValidation type="list" xr:uid="{0899F724-BD80-48F4-9536-3CF8FB125678}">
          <x14:formula1>
            <xm:f>Teams!$AV$2:$AV$19</xm:f>
          </x14:formula1>
          <xm:sqref>B40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8348-A812-4FA3-8909-A14788EDD60F}">
  <dimension ref="A1:G32"/>
  <sheetViews>
    <sheetView topLeftCell="A8" workbookViewId="0">
      <selection activeCell="D32" sqref="D32"/>
    </sheetView>
  </sheetViews>
  <sheetFormatPr defaultRowHeight="13.8"/>
  <cols>
    <col min="1" max="1" width="8.19921875" bestFit="1" customWidth="1"/>
    <col min="2" max="2" width="6.59765625" bestFit="1" customWidth="1"/>
    <col min="3" max="3" width="12.296875" bestFit="1" customWidth="1"/>
    <col min="4" max="4" width="20.59765625" bestFit="1" customWidth="1"/>
    <col min="5" max="5" width="13.19921875" bestFit="1" customWidth="1"/>
    <col min="6" max="6" width="13.19921875" customWidth="1"/>
    <col min="7" max="7" width="6.3984375" bestFit="1" customWidth="1"/>
  </cols>
  <sheetData>
    <row r="1" spans="1:7">
      <c r="A1" s="5" t="s">
        <v>52</v>
      </c>
      <c r="B1" s="5" t="s">
        <v>37</v>
      </c>
      <c r="C1" s="5" t="s">
        <v>53</v>
      </c>
      <c r="D1" s="5" t="s">
        <v>54</v>
      </c>
      <c r="E1" s="5" t="s">
        <v>55</v>
      </c>
      <c r="F1" s="5" t="s">
        <v>225</v>
      </c>
      <c r="G1" s="5" t="s">
        <v>224</v>
      </c>
    </row>
    <row r="2" spans="1:7" ht="14.4">
      <c r="A2" s="6" t="s">
        <v>6</v>
      </c>
      <c r="B2" s="6" t="s">
        <v>39</v>
      </c>
      <c r="C2" s="6" t="e">
        <f>IF(#REF!="","",#REF!)</f>
        <v>#REF!</v>
      </c>
      <c r="D2" s="16" t="s">
        <v>226</v>
      </c>
      <c r="E2" s="7" t="s">
        <v>51</v>
      </c>
      <c r="F2" s="7">
        <v>6</v>
      </c>
      <c r="G2" s="6">
        <f>IFERROR(INDEX(#REF!,MATCH(B2,#REF!,0)),0)</f>
        <v>0</v>
      </c>
    </row>
    <row r="3" spans="1:7" ht="14.4">
      <c r="A3" s="6" t="s">
        <v>8</v>
      </c>
      <c r="B3" s="6" t="s">
        <v>39</v>
      </c>
      <c r="C3" s="16" t="e">
        <f>IF(#REF!="","",#REF!)</f>
        <v>#REF!</v>
      </c>
      <c r="D3" s="16" t="e">
        <f>IF(#REF!="","",#REF!)</f>
        <v>#REF!</v>
      </c>
      <c r="E3" s="7" t="s">
        <v>86</v>
      </c>
      <c r="F3" s="7">
        <v>6</v>
      </c>
      <c r="G3" s="6">
        <f>IFERROR(INDEX(#REF!,MATCH(B3,#REF!,0)),0)</f>
        <v>0</v>
      </c>
    </row>
    <row r="4" spans="1:7">
      <c r="A4" s="6" t="s">
        <v>10</v>
      </c>
      <c r="B4" s="6" t="s">
        <v>39</v>
      </c>
      <c r="C4" s="6" t="e">
        <f>IF(#REF!="","",#REF!)</f>
        <v>#REF!</v>
      </c>
      <c r="D4" s="6" t="e">
        <f>IF(#REF!="","",#REF!)</f>
        <v>#REF!</v>
      </c>
      <c r="E4" s="7" t="s">
        <v>44</v>
      </c>
      <c r="F4" s="7">
        <v>6</v>
      </c>
      <c r="G4" s="6">
        <f>IFERROR(INDEX(#REF!,MATCH(B4,#REF!,0)),0)</f>
        <v>0</v>
      </c>
    </row>
    <row r="5" spans="1:7">
      <c r="A5" s="6" t="s">
        <v>12</v>
      </c>
      <c r="B5" s="6" t="s">
        <v>39</v>
      </c>
      <c r="C5" s="6" t="s">
        <v>85</v>
      </c>
      <c r="D5" s="6" t="e">
        <f>IF(#REF!="","",#REF!)</f>
        <v>#REF!</v>
      </c>
      <c r="E5" s="7" t="s">
        <v>49</v>
      </c>
      <c r="F5" s="7">
        <v>6</v>
      </c>
      <c r="G5" s="6">
        <f>IFERROR(INDEX(#REF!,MATCH(B5,#REF!,0)),0)</f>
        <v>0</v>
      </c>
    </row>
    <row r="6" spans="1:7" ht="14.4">
      <c r="A6" s="6" t="s">
        <v>14</v>
      </c>
      <c r="B6" s="6" t="s">
        <v>39</v>
      </c>
      <c r="C6" s="16" t="s">
        <v>91</v>
      </c>
      <c r="D6" s="16" t="e">
        <f>IF(#REF!="","",#REF!)</f>
        <v>#REF!</v>
      </c>
      <c r="E6" s="7" t="s">
        <v>123</v>
      </c>
      <c r="F6" s="7">
        <v>6</v>
      </c>
      <c r="G6" s="6">
        <f>IFERROR(INDEX(#REF!,MATCH(B6,#REF!,0)),0)</f>
        <v>0</v>
      </c>
    </row>
    <row r="7" spans="1:7" ht="14.4">
      <c r="A7" s="6" t="s">
        <v>16</v>
      </c>
      <c r="B7" s="6" t="s">
        <v>39</v>
      </c>
      <c r="C7" s="16" t="e">
        <f>IF(#REF!="","",#REF!)</f>
        <v>#REF!</v>
      </c>
      <c r="D7" s="16" t="e">
        <f>IF(#REF!="","",#REF!)</f>
        <v>#REF!</v>
      </c>
      <c r="E7" s="7" t="s">
        <v>137</v>
      </c>
      <c r="F7" s="7">
        <v>6</v>
      </c>
      <c r="G7" s="6">
        <f>IFERROR(INDEX(#REF!,MATCH(B7,#REF!,0)),0)</f>
        <v>0</v>
      </c>
    </row>
    <row r="8" spans="1:7">
      <c r="A8" s="6" t="s">
        <v>18</v>
      </c>
      <c r="B8" s="6" t="s">
        <v>39</v>
      </c>
      <c r="C8" s="6" t="e">
        <f>IF(#REF!="","",#REF!)</f>
        <v>#REF!</v>
      </c>
      <c r="D8" s="6" t="s">
        <v>47</v>
      </c>
      <c r="E8" s="7" t="s">
        <v>50</v>
      </c>
      <c r="F8" s="7">
        <v>6</v>
      </c>
      <c r="G8" s="6">
        <f>IFERROR(INDEX(#REF!,MATCH(B8,#REF!,0)),0)</f>
        <v>0</v>
      </c>
    </row>
    <row r="9" spans="1:7" ht="14.4">
      <c r="A9" s="6" t="s">
        <v>20</v>
      </c>
      <c r="B9" s="6" t="s">
        <v>39</v>
      </c>
      <c r="C9" s="16" t="e">
        <f>IF(#REF!="","",#REF!)</f>
        <v>#REF!</v>
      </c>
      <c r="D9" s="16" t="e">
        <f>IF(#REF!="","",#REF!)</f>
        <v>#REF!</v>
      </c>
      <c r="E9" s="7" t="s">
        <v>105</v>
      </c>
      <c r="F9" s="7">
        <v>6</v>
      </c>
      <c r="G9" s="6">
        <f>IFERROR(INDEX(#REF!,MATCH(B9,#REF!,0)),0)</f>
        <v>0</v>
      </c>
    </row>
    <row r="10" spans="1:7">
      <c r="A10" s="6" t="s">
        <v>22</v>
      </c>
      <c r="B10" s="6" t="s">
        <v>39</v>
      </c>
      <c r="C10" s="6" t="e">
        <f>IF(#REF!="","",#REF!)</f>
        <v>#REF!</v>
      </c>
      <c r="D10" s="6" t="s">
        <v>106</v>
      </c>
      <c r="E10" s="7" t="s">
        <v>48</v>
      </c>
      <c r="F10" s="7">
        <v>6</v>
      </c>
      <c r="G10" s="6">
        <f>IFERROR(INDEX(#REF!,MATCH(B10,#REF!,0)),0)</f>
        <v>0</v>
      </c>
    </row>
    <row r="11" spans="1:7" ht="14.4">
      <c r="A11" s="6" t="s">
        <v>24</v>
      </c>
      <c r="B11" s="6" t="s">
        <v>39</v>
      </c>
      <c r="C11" s="6" t="e">
        <f>IF(#REF!="","",#REF!)</f>
        <v>#REF!</v>
      </c>
      <c r="D11" s="16" t="e">
        <f>IF(#REF!="","",#REF!)</f>
        <v>#REF!</v>
      </c>
      <c r="E11" s="7" t="s">
        <v>107</v>
      </c>
      <c r="F11" s="7">
        <v>6</v>
      </c>
      <c r="G11" s="6">
        <f>IFERROR(INDEX(#REF!,MATCH(B11,#REF!,0)),0)</f>
        <v>0</v>
      </c>
    </row>
    <row r="12" spans="1:7" ht="14.4">
      <c r="A12" s="6" t="s">
        <v>26</v>
      </c>
      <c r="B12" s="6" t="s">
        <v>39</v>
      </c>
      <c r="C12" s="6" t="e">
        <f>IF(#REF!="","",#REF!)</f>
        <v>#REF!</v>
      </c>
      <c r="D12" s="16" t="e">
        <f>IF(#REF!="","",#REF!)</f>
        <v>#REF!</v>
      </c>
      <c r="E12" s="7" t="s">
        <v>43</v>
      </c>
      <c r="F12" s="7">
        <v>6</v>
      </c>
      <c r="G12" s="6">
        <f>IFERROR(INDEX(#REF!,MATCH(B12,#REF!,0)),0)</f>
        <v>0</v>
      </c>
    </row>
    <row r="13" spans="1:7" ht="14.4">
      <c r="A13" s="6" t="s">
        <v>28</v>
      </c>
      <c r="B13" s="6" t="s">
        <v>39</v>
      </c>
      <c r="C13" s="16" t="e">
        <f>IF(#REF!="","",#REF!)</f>
        <v>#REF!</v>
      </c>
      <c r="D13" s="16" t="s">
        <v>112</v>
      </c>
      <c r="E13" s="7" t="s">
        <v>110</v>
      </c>
      <c r="F13" s="7">
        <v>6</v>
      </c>
      <c r="G13" s="6">
        <f>IFERROR(INDEX(#REF!,MATCH(B13,#REF!,0)),0)</f>
        <v>0</v>
      </c>
    </row>
    <row r="14" spans="1:7" ht="14.4">
      <c r="A14" s="6" t="s">
        <v>30</v>
      </c>
      <c r="B14" s="6" t="s">
        <v>39</v>
      </c>
      <c r="C14" s="6" t="e">
        <f>IF(#REF!="","",#REF!)</f>
        <v>#REF!</v>
      </c>
      <c r="D14" s="16" t="e">
        <f>IF(#REF!="","",#REF!)</f>
        <v>#REF!</v>
      </c>
      <c r="E14" s="7" t="s">
        <v>113</v>
      </c>
      <c r="F14" s="7">
        <v>6</v>
      </c>
      <c r="G14" s="6">
        <f>IFERROR(INDEX(#REF!,MATCH(B14,#REF!,0)),0)</f>
        <v>0</v>
      </c>
    </row>
    <row r="15" spans="1:7" ht="14.4">
      <c r="A15" s="6" t="s">
        <v>32</v>
      </c>
      <c r="B15" s="6" t="s">
        <v>39</v>
      </c>
      <c r="C15" s="6" t="s">
        <v>115</v>
      </c>
      <c r="D15" s="16" t="e">
        <f>IF(#REF!="","",#REF!)</f>
        <v>#REF!</v>
      </c>
      <c r="E15" s="7" t="s">
        <v>115</v>
      </c>
      <c r="F15" s="7">
        <v>6</v>
      </c>
      <c r="G15" s="6">
        <f>IFERROR(INDEX(#REF!,MATCH(B15,#REF!,0)),0)</f>
        <v>0</v>
      </c>
    </row>
    <row r="16" spans="1:7" ht="14.4">
      <c r="A16" s="6" t="s">
        <v>34</v>
      </c>
      <c r="B16" s="6" t="s">
        <v>39</v>
      </c>
      <c r="C16" s="6" t="e">
        <f>IF(#REF!="","",#REF!)</f>
        <v>#REF!</v>
      </c>
      <c r="D16" s="16" t="e">
        <f>IF(#REF!="","",#REF!)</f>
        <v>#REF!</v>
      </c>
      <c r="E16" s="7" t="s">
        <v>45</v>
      </c>
      <c r="F16" s="7">
        <v>6</v>
      </c>
      <c r="G16" s="6">
        <f>IFERROR(INDEX(#REF!,MATCH(B16,#REF!,0)),0)</f>
        <v>0</v>
      </c>
    </row>
    <row r="17" spans="1:7" ht="14.4">
      <c r="A17" s="6" t="s">
        <v>36</v>
      </c>
      <c r="B17" s="6" t="s">
        <v>39</v>
      </c>
      <c r="C17" s="16" t="s">
        <v>227</v>
      </c>
      <c r="D17" s="16" t="s">
        <v>222</v>
      </c>
      <c r="E17" s="7" t="s">
        <v>227</v>
      </c>
      <c r="F17" s="7">
        <v>6</v>
      </c>
      <c r="G17" s="6">
        <f>IFERROR(INDEX(#REF!,MATCH(B17,#REF!,0)),0)</f>
        <v>0</v>
      </c>
    </row>
    <row r="18" spans="1:7">
      <c r="A18" s="6" t="s">
        <v>7</v>
      </c>
      <c r="B18" s="6" t="s">
        <v>40</v>
      </c>
      <c r="C18" s="6" t="str">
        <f>E2</f>
        <v>Germany</v>
      </c>
      <c r="D18" s="6" t="str">
        <f>E3</f>
        <v>France</v>
      </c>
      <c r="E18" s="7" t="s">
        <v>51</v>
      </c>
      <c r="F18" s="7">
        <v>6</v>
      </c>
      <c r="G18" s="6">
        <f>IFERROR(INDEX(#REF!,MATCH(B18,#REF!,0)),0)</f>
        <v>0</v>
      </c>
    </row>
    <row r="19" spans="1:7">
      <c r="A19" s="6" t="s">
        <v>11</v>
      </c>
      <c r="B19" s="6" t="s">
        <v>40</v>
      </c>
      <c r="C19" s="6" t="str">
        <f>E4</f>
        <v>South Africa</v>
      </c>
      <c r="D19" s="6" t="str">
        <f>E5</f>
        <v>Morocco</v>
      </c>
      <c r="E19" s="7" t="s">
        <v>44</v>
      </c>
      <c r="F19" s="7">
        <v>6</v>
      </c>
      <c r="G19" s="6">
        <f>IFERROR(INDEX(#REF!,MATCH(B19,#REF!,0)),0)</f>
        <v>0</v>
      </c>
    </row>
    <row r="20" spans="1:7">
      <c r="A20" s="6" t="s">
        <v>15</v>
      </c>
      <c r="B20" s="6" t="s">
        <v>40</v>
      </c>
      <c r="C20" s="6" t="str">
        <f>E6</f>
        <v>Ghana</v>
      </c>
      <c r="D20" s="6" t="str">
        <f>E7</f>
        <v>Uruguay</v>
      </c>
      <c r="E20" s="7" t="s">
        <v>123</v>
      </c>
      <c r="F20" s="7">
        <v>6</v>
      </c>
      <c r="G20" s="6">
        <f>IFERROR(INDEX(#REF!,MATCH(B20,#REF!,0)),0)</f>
        <v>0</v>
      </c>
    </row>
    <row r="21" spans="1:7">
      <c r="A21" s="6" t="s">
        <v>19</v>
      </c>
      <c r="B21" s="6" t="s">
        <v>40</v>
      </c>
      <c r="C21" s="6" t="str">
        <f>E8</f>
        <v>United States</v>
      </c>
      <c r="D21" s="6" t="str">
        <f>E9</f>
        <v>Czechia</v>
      </c>
      <c r="E21" s="7" t="s">
        <v>50</v>
      </c>
      <c r="F21" s="7">
        <v>6</v>
      </c>
      <c r="G21" s="6">
        <f>IFERROR(INDEX(#REF!,MATCH(B21,#REF!,0)),0)</f>
        <v>0</v>
      </c>
    </row>
    <row r="22" spans="1:7">
      <c r="A22" s="6" t="s">
        <v>23</v>
      </c>
      <c r="B22" s="6" t="s">
        <v>40</v>
      </c>
      <c r="C22" s="6" t="str">
        <f>E10</f>
        <v>Brazil</v>
      </c>
      <c r="D22" s="6" t="str">
        <f>E11</f>
        <v>Senegal</v>
      </c>
      <c r="E22" s="7" t="s">
        <v>48</v>
      </c>
      <c r="F22" s="7">
        <v>6</v>
      </c>
      <c r="G22" s="6">
        <f>IFERROR(INDEX(#REF!,MATCH(B22,#REF!,0)),0)</f>
        <v>0</v>
      </c>
    </row>
    <row r="23" spans="1:7">
      <c r="A23" s="6" t="s">
        <v>27</v>
      </c>
      <c r="B23" s="6" t="s">
        <v>40</v>
      </c>
      <c r="C23" s="6" t="str">
        <f>E12</f>
        <v>Mexico</v>
      </c>
      <c r="D23" s="6" t="str">
        <f>E13</f>
        <v>Croatia</v>
      </c>
      <c r="E23" s="7" t="s">
        <v>43</v>
      </c>
      <c r="F23" s="7">
        <v>6</v>
      </c>
      <c r="G23" s="6">
        <f>IFERROR(INDEX(#REF!,MATCH(B23,#REF!,0)),0)</f>
        <v>0</v>
      </c>
    </row>
    <row r="24" spans="1:7">
      <c r="A24" s="6" t="s">
        <v>31</v>
      </c>
      <c r="B24" s="6" t="s">
        <v>40</v>
      </c>
      <c r="C24" s="6" t="str">
        <f>E14</f>
        <v>Cape Verde</v>
      </c>
      <c r="D24" s="6" t="str">
        <f>E15</f>
        <v>Australia</v>
      </c>
      <c r="E24" s="7" t="s">
        <v>113</v>
      </c>
      <c r="F24" s="7">
        <v>6</v>
      </c>
      <c r="G24" s="6">
        <f>IFERROR(INDEX(#REF!,MATCH(B24,#REF!,0)),0)</f>
        <v>0</v>
      </c>
    </row>
    <row r="25" spans="1:7">
      <c r="A25" s="6" t="s">
        <v>35</v>
      </c>
      <c r="B25" s="6" t="s">
        <v>40</v>
      </c>
      <c r="C25" s="6" t="str">
        <f>E16</f>
        <v>Switzerland</v>
      </c>
      <c r="D25" s="6" t="str">
        <f>E17</f>
        <v>Columbia</v>
      </c>
      <c r="E25" s="7" t="s">
        <v>45</v>
      </c>
      <c r="F25" s="7">
        <v>6</v>
      </c>
      <c r="G25" s="6">
        <f>IFERROR(INDEX(#REF!,MATCH(B25,#REF!,0)),0)</f>
        <v>0</v>
      </c>
    </row>
    <row r="26" spans="1:7">
      <c r="A26" s="6" t="s">
        <v>9</v>
      </c>
      <c r="B26" s="6" t="s">
        <v>41</v>
      </c>
      <c r="C26" s="6" t="str">
        <f>E18</f>
        <v>Germany</v>
      </c>
      <c r="D26" s="6" t="str">
        <f>E19</f>
        <v>South Africa</v>
      </c>
      <c r="E26" s="7" t="s">
        <v>51</v>
      </c>
      <c r="F26" s="7">
        <v>6</v>
      </c>
      <c r="G26" s="6">
        <f>IFERROR(INDEX(#REF!,MATCH(B26,#REF!,0)),0)</f>
        <v>0</v>
      </c>
    </row>
    <row r="27" spans="1:7">
      <c r="A27" s="6" t="s">
        <v>17</v>
      </c>
      <c r="B27" s="6" t="s">
        <v>41</v>
      </c>
      <c r="C27" s="6" t="str">
        <f>E20</f>
        <v>Ghana</v>
      </c>
      <c r="D27" s="6" t="str">
        <f>E21</f>
        <v>United States</v>
      </c>
      <c r="E27" s="7" t="s">
        <v>123</v>
      </c>
      <c r="F27" s="7">
        <v>6</v>
      </c>
      <c r="G27" s="6">
        <f>IFERROR(INDEX(#REF!,MATCH(B27,#REF!,0)),0)</f>
        <v>0</v>
      </c>
    </row>
    <row r="28" spans="1:7">
      <c r="A28" s="6" t="s">
        <v>25</v>
      </c>
      <c r="B28" s="6" t="s">
        <v>41</v>
      </c>
      <c r="C28" s="6" t="str">
        <f>E22</f>
        <v>Brazil</v>
      </c>
      <c r="D28" s="6" t="str">
        <f>E23</f>
        <v>Mexico</v>
      </c>
      <c r="E28" s="7" t="s">
        <v>48</v>
      </c>
      <c r="F28" s="7">
        <v>6</v>
      </c>
      <c r="G28" s="6">
        <f>IFERROR(INDEX(#REF!,MATCH(B28,#REF!,0)),0)</f>
        <v>0</v>
      </c>
    </row>
    <row r="29" spans="1:7">
      <c r="A29" s="6" t="s">
        <v>33</v>
      </c>
      <c r="B29" s="6" t="s">
        <v>41</v>
      </c>
      <c r="C29" s="6" t="str">
        <f>E24</f>
        <v>Cape Verde</v>
      </c>
      <c r="D29" s="6" t="str">
        <f>E25</f>
        <v>Switzerland</v>
      </c>
      <c r="E29" s="7" t="s">
        <v>113</v>
      </c>
      <c r="F29" s="7">
        <v>6</v>
      </c>
      <c r="G29" s="6">
        <f>IFERROR(INDEX(#REF!,MATCH(B29,#REF!,0)),0)</f>
        <v>0</v>
      </c>
    </row>
    <row r="30" spans="1:7">
      <c r="A30" s="6" t="s">
        <v>13</v>
      </c>
      <c r="B30" s="6" t="s">
        <v>42</v>
      </c>
      <c r="C30" s="6" t="str">
        <f>E26</f>
        <v>Germany</v>
      </c>
      <c r="D30" s="6" t="str">
        <f>E27</f>
        <v>Ghana</v>
      </c>
      <c r="E30" s="7" t="s">
        <v>51</v>
      </c>
      <c r="F30" s="7">
        <v>6</v>
      </c>
      <c r="G30" s="6">
        <f>IFERROR(INDEX(#REF!,MATCH(B30,#REF!,0)),0)</f>
        <v>0</v>
      </c>
    </row>
    <row r="31" spans="1:7">
      <c r="A31" s="6" t="s">
        <v>29</v>
      </c>
      <c r="B31" s="6" t="s">
        <v>42</v>
      </c>
      <c r="C31" s="6" t="str">
        <f>E28</f>
        <v>Brazil</v>
      </c>
      <c r="D31" s="6" t="str">
        <f>E29</f>
        <v>Cape Verde</v>
      </c>
      <c r="E31" s="7" t="s">
        <v>48</v>
      </c>
      <c r="F31" s="7">
        <v>6</v>
      </c>
      <c r="G31" s="6">
        <f>IFERROR(INDEX(#REF!,MATCH(B31,#REF!,0)),0)</f>
        <v>0</v>
      </c>
    </row>
    <row r="32" spans="1:7">
      <c r="A32" s="6" t="s">
        <v>21</v>
      </c>
      <c r="B32" s="6" t="s">
        <v>5</v>
      </c>
      <c r="C32" s="6" t="str">
        <f>E30</f>
        <v>Germany</v>
      </c>
      <c r="D32" s="6" t="str">
        <f>E31</f>
        <v>Brazil</v>
      </c>
      <c r="E32" s="7" t="s">
        <v>51</v>
      </c>
      <c r="F32" s="7">
        <v>6</v>
      </c>
      <c r="G32" s="6">
        <f>IFERROR(INDEX(#REF!,MATCH(B32,#REF!,0)),0)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"/>
  <sheetViews>
    <sheetView showGridLines="0" topLeftCell="AE1" workbookViewId="0">
      <selection sqref="A1:M1"/>
    </sheetView>
  </sheetViews>
  <sheetFormatPr defaultRowHeight="13.8"/>
  <cols>
    <col min="1" max="2" width="10" customWidth="1"/>
    <col min="3" max="5" width="24" customWidth="1"/>
    <col min="6" max="8" width="12" customWidth="1"/>
    <col min="9" max="9" width="18" customWidth="1"/>
    <col min="11" max="11" width="18" customWidth="1"/>
    <col min="12" max="12" width="12" customWidth="1"/>
    <col min="13" max="15" width="10" customWidth="1"/>
    <col min="16" max="16" width="12" customWidth="1"/>
    <col min="17" max="17" width="24" customWidth="1"/>
    <col min="18" max="18" width="12" customWidth="1"/>
    <col min="27" max="50" width="24" customWidth="1"/>
  </cols>
  <sheetData>
    <row r="1" spans="1:50">
      <c r="A1" s="38" t="s">
        <v>56</v>
      </c>
      <c r="B1" s="39"/>
      <c r="C1" s="39"/>
      <c r="D1" s="39"/>
      <c r="E1" s="39"/>
      <c r="F1" s="39"/>
      <c r="G1" s="39"/>
      <c r="H1" s="39"/>
      <c r="I1" s="39"/>
      <c r="J1" s="39"/>
      <c r="K1" s="38" t="s">
        <v>57</v>
      </c>
      <c r="L1" s="39"/>
      <c r="M1" s="40"/>
      <c r="N1" s="38" t="s">
        <v>58</v>
      </c>
      <c r="O1" s="39"/>
      <c r="P1" s="39"/>
      <c r="Q1" s="39"/>
      <c r="R1" s="40"/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68</v>
      </c>
      <c r="AK1" s="3" t="s">
        <v>69</v>
      </c>
      <c r="AL1" s="3" t="s">
        <v>70</v>
      </c>
      <c r="AM1" s="3" t="s">
        <v>71</v>
      </c>
      <c r="AN1" s="3" t="s">
        <v>72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77</v>
      </c>
      <c r="AT1" s="3" t="s">
        <v>78</v>
      </c>
      <c r="AU1" s="3" t="s">
        <v>79</v>
      </c>
      <c r="AV1" s="3" t="s">
        <v>80</v>
      </c>
      <c r="AW1" s="3" t="s">
        <v>81</v>
      </c>
      <c r="AX1" s="3" t="s">
        <v>82</v>
      </c>
    </row>
    <row r="2" spans="1:50">
      <c r="K2" t="s">
        <v>83</v>
      </c>
      <c r="L2" t="e">
        <f>SUM(F4:F34)</f>
        <v>#REF!</v>
      </c>
      <c r="AA2" s="3" t="s">
        <v>84</v>
      </c>
      <c r="AB2" s="3" t="s">
        <v>85</v>
      </c>
      <c r="AC2" s="3" t="s">
        <v>85</v>
      </c>
      <c r="AD2" s="3" t="s">
        <v>86</v>
      </c>
      <c r="AE2" s="3" t="s">
        <v>87</v>
      </c>
      <c r="AF2" s="3" t="s">
        <v>88</v>
      </c>
      <c r="AG2" s="3" t="s">
        <v>86</v>
      </c>
      <c r="AH2" s="3" t="s">
        <v>87</v>
      </c>
      <c r="AI2" s="3" t="s">
        <v>89</v>
      </c>
      <c r="AJ2" s="3" t="s">
        <v>88</v>
      </c>
      <c r="AK2" s="3" t="s">
        <v>47</v>
      </c>
      <c r="AL2" s="3" t="s">
        <v>90</v>
      </c>
      <c r="AM2" s="3" t="s">
        <v>84</v>
      </c>
      <c r="AN2" s="3" t="s">
        <v>91</v>
      </c>
      <c r="AO2" s="3" t="s">
        <v>89</v>
      </c>
      <c r="AP2" s="3" t="s">
        <v>92</v>
      </c>
      <c r="AQ2" s="3" t="s">
        <v>93</v>
      </c>
      <c r="AR2" s="3" t="s">
        <v>88</v>
      </c>
      <c r="AS2" s="3" t="s">
        <v>93</v>
      </c>
      <c r="AT2" s="3" t="s">
        <v>92</v>
      </c>
      <c r="AU2" s="3" t="s">
        <v>91</v>
      </c>
      <c r="AV2" s="3" t="s">
        <v>94</v>
      </c>
      <c r="AW2" s="3" t="s">
        <v>94</v>
      </c>
      <c r="AX2" s="3" t="s">
        <v>90</v>
      </c>
    </row>
    <row r="3" spans="1:50">
      <c r="A3" s="5" t="s">
        <v>52</v>
      </c>
      <c r="B3" s="5" t="s">
        <v>37</v>
      </c>
      <c r="C3" s="5" t="s">
        <v>53</v>
      </c>
      <c r="D3" s="5" t="s">
        <v>54</v>
      </c>
      <c r="E3" s="5" t="s">
        <v>95</v>
      </c>
      <c r="F3" s="5" t="s">
        <v>96</v>
      </c>
      <c r="G3" s="5" t="s">
        <v>97</v>
      </c>
      <c r="H3" s="5" t="s">
        <v>98</v>
      </c>
      <c r="I3" s="5" t="s">
        <v>99</v>
      </c>
      <c r="J3" s="6"/>
      <c r="K3" s="6" t="s">
        <v>100</v>
      </c>
      <c r="L3" s="6" t="e">
        <f>SUM(G4:G34)</f>
        <v>#REF!</v>
      </c>
      <c r="M3" s="6"/>
      <c r="N3" s="5" t="s">
        <v>52</v>
      </c>
      <c r="O3" s="5" t="s">
        <v>101</v>
      </c>
      <c r="P3" s="5" t="s">
        <v>102</v>
      </c>
      <c r="Q3" s="5" t="s">
        <v>103</v>
      </c>
      <c r="R3" s="5" t="s">
        <v>104</v>
      </c>
      <c r="AA3" s="3" t="s">
        <v>105</v>
      </c>
      <c r="AB3" s="3" t="s">
        <v>106</v>
      </c>
      <c r="AC3" s="3" t="s">
        <v>106</v>
      </c>
      <c r="AD3" s="3" t="s">
        <v>107</v>
      </c>
      <c r="AE3" s="3" t="s">
        <v>108</v>
      </c>
      <c r="AF3" s="3" t="s">
        <v>109</v>
      </c>
      <c r="AG3" s="3" t="s">
        <v>107</v>
      </c>
      <c r="AH3" s="3" t="s">
        <v>108</v>
      </c>
      <c r="AI3" s="3" t="s">
        <v>110</v>
      </c>
      <c r="AJ3" s="3" t="s">
        <v>109</v>
      </c>
      <c r="AK3" s="3" t="s">
        <v>88</v>
      </c>
      <c r="AL3" s="3" t="s">
        <v>111</v>
      </c>
      <c r="AM3" s="3" t="s">
        <v>105</v>
      </c>
      <c r="AN3" s="3" t="s">
        <v>112</v>
      </c>
      <c r="AO3" s="3" t="s">
        <v>110</v>
      </c>
      <c r="AP3" s="3" t="s">
        <v>113</v>
      </c>
      <c r="AQ3" s="3" t="s">
        <v>114</v>
      </c>
      <c r="AR3" s="3" t="s">
        <v>109</v>
      </c>
      <c r="AS3" s="3" t="s">
        <v>114</v>
      </c>
      <c r="AT3" s="3" t="s">
        <v>113</v>
      </c>
      <c r="AU3" s="3" t="s">
        <v>112</v>
      </c>
      <c r="AV3" s="3" t="s">
        <v>115</v>
      </c>
      <c r="AW3" s="3" t="s">
        <v>115</v>
      </c>
      <c r="AX3" s="3" t="s">
        <v>111</v>
      </c>
    </row>
    <row r="4" spans="1:50">
      <c r="A4" s="6" t="s">
        <v>6</v>
      </c>
      <c r="B4" s="6" t="s">
        <v>39</v>
      </c>
      <c r="C4" s="6" t="e">
        <f>IF(#REF!="","",#REF!)</f>
        <v>#REF!</v>
      </c>
      <c r="D4" s="6" t="e">
        <f>IF(#REF!="","",#REF!)</f>
        <v>#REF!</v>
      </c>
      <c r="E4" s="6" t="e">
        <f>IF(#REF!="","",IF(OR(#REF!="Team A",#REF!=#REF!),#REF!,IF(OR(#REF!="Team B",#REF!=#REF!),#REF!,#REF!)))</f>
        <v>#REF!</v>
      </c>
      <c r="F4" s="6" t="e">
        <f t="shared" ref="F4:F34" si="0">IF(E4="",1,0)</f>
        <v>#REF!</v>
      </c>
      <c r="G4" s="8" t="e">
        <f t="shared" ref="G4:G34" si="1">IF(E4="",0,IF(OR(E4="Team A",E4="Team B",E4=C4,E4=D4),0,1))</f>
        <v>#REF!</v>
      </c>
      <c r="H4" s="6" t="s">
        <v>116</v>
      </c>
      <c r="I4" s="6" t="s">
        <v>117</v>
      </c>
      <c r="J4" s="6"/>
      <c r="K4" s="6" t="s">
        <v>118</v>
      </c>
      <c r="L4" s="6" t="e">
        <f>SUM(R4:R27)</f>
        <v>#REF!</v>
      </c>
      <c r="M4" s="6"/>
      <c r="N4" s="6" t="s">
        <v>6</v>
      </c>
      <c r="O4" s="6" t="s">
        <v>54</v>
      </c>
      <c r="P4" s="6" t="s">
        <v>119</v>
      </c>
      <c r="Q4" s="6" t="e">
        <f>IF(#REF!="","",#REF!)</f>
        <v>#REF!</v>
      </c>
      <c r="R4" s="6" t="e">
        <f t="shared" ref="R4:R27" si="2">IF(OR(Q4="",Q4="Team A",Q4="Team B"),1,0)</f>
        <v>#REF!</v>
      </c>
      <c r="AA4" s="3" t="s">
        <v>47</v>
      </c>
      <c r="AB4" s="3" t="s">
        <v>120</v>
      </c>
      <c r="AC4" s="3" t="s">
        <v>120</v>
      </c>
      <c r="AD4" s="3" t="s">
        <v>121</v>
      </c>
      <c r="AE4" s="3" t="s">
        <v>94</v>
      </c>
      <c r="AF4" s="3" t="s">
        <v>122</v>
      </c>
      <c r="AG4" s="3" t="s">
        <v>121</v>
      </c>
      <c r="AH4" s="3" t="s">
        <v>88</v>
      </c>
      <c r="AI4" s="3" t="s">
        <v>123</v>
      </c>
      <c r="AJ4" s="3" t="s">
        <v>122</v>
      </c>
      <c r="AK4" s="3" t="s">
        <v>109</v>
      </c>
      <c r="AL4" s="3" t="s">
        <v>124</v>
      </c>
      <c r="AM4" s="3" t="s">
        <v>88</v>
      </c>
      <c r="AN4" s="3" t="s">
        <v>125</v>
      </c>
      <c r="AO4" s="3" t="s">
        <v>123</v>
      </c>
      <c r="AP4" s="3" t="s">
        <v>126</v>
      </c>
      <c r="AQ4" s="3" t="s">
        <v>127</v>
      </c>
      <c r="AR4" s="3" t="s">
        <v>122</v>
      </c>
      <c r="AS4" s="3" t="s">
        <v>127</v>
      </c>
      <c r="AT4" s="3" t="s">
        <v>126</v>
      </c>
      <c r="AU4" s="3" t="s">
        <v>125</v>
      </c>
      <c r="AV4" s="3" t="s">
        <v>128</v>
      </c>
      <c r="AW4" s="3" t="s">
        <v>128</v>
      </c>
      <c r="AX4" s="3" t="s">
        <v>124</v>
      </c>
    </row>
    <row r="5" spans="1:50">
      <c r="A5" s="6" t="s">
        <v>8</v>
      </c>
      <c r="B5" s="6" t="s">
        <v>39</v>
      </c>
      <c r="C5" s="6" t="e">
        <f>IF(#REF!="","",#REF!)</f>
        <v>#REF!</v>
      </c>
      <c r="D5" s="6" t="e">
        <f>IF(#REF!="","",#REF!)</f>
        <v>#REF!</v>
      </c>
      <c r="E5" s="6" t="e">
        <f>IF(#REF!="","",IF(OR(#REF!="Team A",#REF!=#REF!),#REF!,IF(OR(#REF!="Team B",#REF!=#REF!),#REF!,#REF!)))</f>
        <v>#REF!</v>
      </c>
      <c r="F5" s="6" t="e">
        <f t="shared" si="0"/>
        <v>#REF!</v>
      </c>
      <c r="G5" s="8" t="e">
        <f t="shared" si="1"/>
        <v>#REF!</v>
      </c>
      <c r="H5" s="6" t="s">
        <v>129</v>
      </c>
      <c r="I5" s="6" t="s">
        <v>130</v>
      </c>
      <c r="J5" s="6"/>
      <c r="K5" s="6"/>
      <c r="L5" s="6"/>
      <c r="M5" s="6"/>
      <c r="N5" s="6" t="s">
        <v>12</v>
      </c>
      <c r="O5" s="6" t="s">
        <v>53</v>
      </c>
      <c r="P5" s="6" t="s">
        <v>131</v>
      </c>
      <c r="Q5" s="6" t="e">
        <f>IF(#REF!="","",#REF!)</f>
        <v>#REF!</v>
      </c>
      <c r="R5" s="6" t="e">
        <f t="shared" si="2"/>
        <v>#REF!</v>
      </c>
      <c r="AA5" s="3" t="s">
        <v>87</v>
      </c>
      <c r="AB5" s="3" t="s">
        <v>132</v>
      </c>
      <c r="AC5" s="3" t="s">
        <v>132</v>
      </c>
      <c r="AD5" s="3" t="s">
        <v>133</v>
      </c>
      <c r="AE5" s="3" t="s">
        <v>115</v>
      </c>
      <c r="AG5" s="3" t="s">
        <v>133</v>
      </c>
      <c r="AH5" s="3" t="s">
        <v>109</v>
      </c>
      <c r="AI5" s="3" t="s">
        <v>134</v>
      </c>
      <c r="AJ5" s="3" t="s">
        <v>92</v>
      </c>
      <c r="AK5" s="3" t="s">
        <v>122</v>
      </c>
      <c r="AL5" s="3" t="s">
        <v>135</v>
      </c>
      <c r="AM5" s="3" t="s">
        <v>109</v>
      </c>
      <c r="AN5" s="3" t="s">
        <v>136</v>
      </c>
      <c r="AO5" s="3" t="s">
        <v>134</v>
      </c>
      <c r="AP5" s="3" t="s">
        <v>137</v>
      </c>
      <c r="AQ5" s="3" t="s">
        <v>138</v>
      </c>
      <c r="AR5" s="3" t="s">
        <v>85</v>
      </c>
      <c r="AS5" s="3" t="s">
        <v>138</v>
      </c>
      <c r="AT5" s="3" t="s">
        <v>137</v>
      </c>
      <c r="AU5" s="3" t="s">
        <v>136</v>
      </c>
      <c r="AV5" s="3" t="s">
        <v>88</v>
      </c>
      <c r="AX5" s="3" t="s">
        <v>135</v>
      </c>
    </row>
    <row r="6" spans="1:50">
      <c r="A6" s="6" t="s">
        <v>10</v>
      </c>
      <c r="B6" s="6" t="s">
        <v>39</v>
      </c>
      <c r="C6" s="6" t="e">
        <f>IF(#REF!="","",#REF!)</f>
        <v>#REF!</v>
      </c>
      <c r="D6" s="6" t="e">
        <f>IF(#REF!="","",#REF!)</f>
        <v>#REF!</v>
      </c>
      <c r="E6" s="6" t="e">
        <f>IF(#REF!="","",IF(OR(#REF!="Team A",#REF!=#REF!),#REF!,IF(OR(#REF!="Team B",#REF!=#REF!),#REF!,#REF!)))</f>
        <v>#REF!</v>
      </c>
      <c r="F6" s="6" t="e">
        <f t="shared" si="0"/>
        <v>#REF!</v>
      </c>
      <c r="G6" s="8" t="e">
        <f t="shared" si="1"/>
        <v>#REF!</v>
      </c>
      <c r="H6" s="6" t="s">
        <v>139</v>
      </c>
      <c r="I6" s="6" t="s">
        <v>140</v>
      </c>
      <c r="J6" s="6"/>
      <c r="K6" s="6"/>
      <c r="L6" s="6"/>
      <c r="M6" s="6"/>
      <c r="N6" s="6" t="s">
        <v>22</v>
      </c>
      <c r="O6" s="6" t="s">
        <v>54</v>
      </c>
      <c r="P6" s="6" t="s">
        <v>141</v>
      </c>
      <c r="Q6" s="6" t="e">
        <f>IF(#REF!="","",#REF!)</f>
        <v>#REF!</v>
      </c>
      <c r="R6" s="6" t="e">
        <f t="shared" si="2"/>
        <v>#REF!</v>
      </c>
      <c r="AA6" s="3" t="s">
        <v>108</v>
      </c>
      <c r="AE6" s="3" t="s">
        <v>128</v>
      </c>
      <c r="AH6" s="3" t="s">
        <v>122</v>
      </c>
      <c r="AJ6" s="3" t="s">
        <v>113</v>
      </c>
      <c r="AK6" s="3" t="s">
        <v>85</v>
      </c>
      <c r="AM6" s="3" t="s">
        <v>122</v>
      </c>
      <c r="AR6" s="3" t="s">
        <v>106</v>
      </c>
      <c r="AV6" s="3" t="s">
        <v>109</v>
      </c>
    </row>
    <row r="7" spans="1:50">
      <c r="A7" s="6" t="s">
        <v>12</v>
      </c>
      <c r="B7" s="6" t="s">
        <v>39</v>
      </c>
      <c r="C7" s="6" t="e">
        <f>IF(#REF!="","",#REF!)</f>
        <v>#REF!</v>
      </c>
      <c r="D7" s="6" t="e">
        <f>IF(#REF!="","",#REF!)</f>
        <v>#REF!</v>
      </c>
      <c r="E7" s="6" t="e">
        <f>IF(#REF!="","",IF(OR(#REF!="Team A",#REF!=#REF!),#REF!,IF(OR(#REF!="Team B",#REF!=#REF!),#REF!,#REF!)))</f>
        <v>#REF!</v>
      </c>
      <c r="F7" s="6" t="e">
        <f t="shared" si="0"/>
        <v>#REF!</v>
      </c>
      <c r="G7" s="8" t="e">
        <f t="shared" si="1"/>
        <v>#REF!</v>
      </c>
      <c r="H7" s="6" t="s">
        <v>142</v>
      </c>
      <c r="I7" s="6" t="s">
        <v>143</v>
      </c>
      <c r="J7" s="6"/>
      <c r="K7" s="6"/>
      <c r="L7" s="6"/>
      <c r="M7" s="6"/>
      <c r="N7" s="6" t="s">
        <v>8</v>
      </c>
      <c r="O7" s="6" t="s">
        <v>53</v>
      </c>
      <c r="P7" s="6" t="s">
        <v>144</v>
      </c>
      <c r="Q7" s="6" t="e">
        <f>IF(#REF!="","",#REF!)</f>
        <v>#REF!</v>
      </c>
      <c r="R7" s="6" t="e">
        <f t="shared" si="2"/>
        <v>#REF!</v>
      </c>
      <c r="AA7" s="3" t="s">
        <v>94</v>
      </c>
      <c r="AE7" s="3" t="s">
        <v>85</v>
      </c>
      <c r="AH7" s="3" t="s">
        <v>85</v>
      </c>
      <c r="AJ7" s="3" t="s">
        <v>126</v>
      </c>
      <c r="AK7" s="3" t="s">
        <v>106</v>
      </c>
      <c r="AM7" s="3" t="s">
        <v>92</v>
      </c>
      <c r="AR7" s="3" t="s">
        <v>120</v>
      </c>
      <c r="AV7" s="3" t="s">
        <v>122</v>
      </c>
    </row>
    <row r="8" spans="1:50">
      <c r="A8" s="6" t="s">
        <v>14</v>
      </c>
      <c r="B8" s="6" t="s">
        <v>39</v>
      </c>
      <c r="C8" s="6" t="e">
        <f>IF(#REF!="","",#REF!)</f>
        <v>#REF!</v>
      </c>
      <c r="D8" s="6" t="e">
        <f>IF(#REF!="","",#REF!)</f>
        <v>#REF!</v>
      </c>
      <c r="E8" s="6" t="e">
        <f>IF(#REF!="","",IF(OR(#REF!="Team A",#REF!=#REF!),#REF!,IF(OR(#REF!="Team B",#REF!=#REF!),#REF!,#REF!)))</f>
        <v>#REF!</v>
      </c>
      <c r="F8" s="6" t="e">
        <f t="shared" si="0"/>
        <v>#REF!</v>
      </c>
      <c r="G8" s="8" t="e">
        <f t="shared" si="1"/>
        <v>#REF!</v>
      </c>
      <c r="H8" s="6" t="s">
        <v>145</v>
      </c>
      <c r="I8" s="6" t="s">
        <v>146</v>
      </c>
      <c r="J8" s="6"/>
      <c r="K8" s="6"/>
      <c r="L8" s="6"/>
      <c r="M8" s="6"/>
      <c r="N8" s="6" t="s">
        <v>8</v>
      </c>
      <c r="O8" s="6" t="s">
        <v>54</v>
      </c>
      <c r="P8" s="6" t="s">
        <v>147</v>
      </c>
      <c r="Q8" s="6" t="e">
        <f>IF(#REF!="","",#REF!)</f>
        <v>#REF!</v>
      </c>
      <c r="R8" s="6" t="e">
        <f t="shared" si="2"/>
        <v>#REF!</v>
      </c>
      <c r="AA8" s="3" t="s">
        <v>115</v>
      </c>
      <c r="AE8" s="3" t="s">
        <v>106</v>
      </c>
      <c r="AH8" s="3" t="s">
        <v>106</v>
      </c>
      <c r="AJ8" s="3" t="s">
        <v>137</v>
      </c>
      <c r="AK8" s="3" t="s">
        <v>120</v>
      </c>
      <c r="AM8" s="3" t="s">
        <v>113</v>
      </c>
      <c r="AR8" s="3" t="s">
        <v>132</v>
      </c>
      <c r="AV8" s="3" t="s">
        <v>86</v>
      </c>
    </row>
    <row r="9" spans="1:50">
      <c r="A9" s="6" t="s">
        <v>16</v>
      </c>
      <c r="B9" s="6" t="s">
        <v>39</v>
      </c>
      <c r="C9" s="6" t="e">
        <f>IF(#REF!="","",#REF!)</f>
        <v>#REF!</v>
      </c>
      <c r="D9" s="6" t="e">
        <f>IF(#REF!="","",#REF!)</f>
        <v>#REF!</v>
      </c>
      <c r="E9" s="6" t="e">
        <f>IF(#REF!="","",IF(OR(#REF!="Team A",#REF!=#REF!),#REF!,IF(OR(#REF!="Team B",#REF!=#REF!),#REF!,#REF!)))</f>
        <v>#REF!</v>
      </c>
      <c r="F9" s="6" t="e">
        <f t="shared" si="0"/>
        <v>#REF!</v>
      </c>
      <c r="G9" s="8" t="e">
        <f t="shared" si="1"/>
        <v>#REF!</v>
      </c>
      <c r="H9" s="6" t="s">
        <v>148</v>
      </c>
      <c r="I9" s="6" t="s">
        <v>149</v>
      </c>
      <c r="J9" s="6"/>
      <c r="K9" s="6"/>
      <c r="L9" s="6"/>
      <c r="M9" s="6"/>
      <c r="N9" s="6" t="s">
        <v>24</v>
      </c>
      <c r="O9" s="6" t="s">
        <v>53</v>
      </c>
      <c r="P9" s="6" t="s">
        <v>150</v>
      </c>
      <c r="Q9" s="6" t="e">
        <f>IF(#REF!="","",#REF!)</f>
        <v>#REF!</v>
      </c>
      <c r="R9" s="6" t="e">
        <f t="shared" si="2"/>
        <v>#REF!</v>
      </c>
      <c r="AA9" s="3" t="s">
        <v>128</v>
      </c>
      <c r="AE9" s="3" t="s">
        <v>120</v>
      </c>
      <c r="AH9" s="3" t="s">
        <v>120</v>
      </c>
      <c r="AJ9" s="3" t="s">
        <v>86</v>
      </c>
      <c r="AK9" s="3" t="s">
        <v>132</v>
      </c>
      <c r="AM9" s="3" t="s">
        <v>126</v>
      </c>
      <c r="AR9" s="3" t="s">
        <v>90</v>
      </c>
      <c r="AV9" s="3" t="s">
        <v>107</v>
      </c>
    </row>
    <row r="10" spans="1:50">
      <c r="A10" s="6" t="s">
        <v>18</v>
      </c>
      <c r="B10" s="6" t="s">
        <v>39</v>
      </c>
      <c r="C10" s="6" t="e">
        <f>IF(#REF!="","",#REF!)</f>
        <v>#REF!</v>
      </c>
      <c r="D10" s="6" t="e">
        <f>IF(#REF!="","",#REF!)</f>
        <v>#REF!</v>
      </c>
      <c r="E10" s="6" t="e">
        <f>IF(#REF!="","",IF(OR(#REF!="Team A",#REF!=#REF!),#REF!,IF(OR(#REF!="Team B",#REF!=#REF!),#REF!,#REF!)))</f>
        <v>#REF!</v>
      </c>
      <c r="F10" s="6" t="e">
        <f t="shared" si="0"/>
        <v>#REF!</v>
      </c>
      <c r="G10" s="8" t="e">
        <f t="shared" si="1"/>
        <v>#REF!</v>
      </c>
      <c r="H10" s="6" t="s">
        <v>151</v>
      </c>
      <c r="I10" s="6" t="s">
        <v>152</v>
      </c>
      <c r="J10" s="6"/>
      <c r="K10" s="6"/>
      <c r="L10" s="6"/>
      <c r="M10" s="6"/>
      <c r="N10" s="6" t="s">
        <v>24</v>
      </c>
      <c r="O10" s="6" t="s">
        <v>54</v>
      </c>
      <c r="P10" s="6" t="s">
        <v>153</v>
      </c>
      <c r="Q10" s="6" t="e">
        <f>IF(#REF!="","",#REF!)</f>
        <v>#REF!</v>
      </c>
      <c r="R10" s="6" t="e">
        <f t="shared" si="2"/>
        <v>#REF!</v>
      </c>
      <c r="AA10" s="3" t="s">
        <v>85</v>
      </c>
      <c r="AE10" s="3" t="s">
        <v>132</v>
      </c>
      <c r="AH10" s="3" t="s">
        <v>132</v>
      </c>
      <c r="AJ10" s="3" t="s">
        <v>107</v>
      </c>
      <c r="AK10" s="3" t="s">
        <v>86</v>
      </c>
      <c r="AM10" s="3" t="s">
        <v>137</v>
      </c>
      <c r="AR10" s="3" t="s">
        <v>111</v>
      </c>
      <c r="AV10" s="3" t="s">
        <v>121</v>
      </c>
    </row>
    <row r="11" spans="1:50">
      <c r="A11" s="6" t="s">
        <v>20</v>
      </c>
      <c r="B11" s="6" t="s">
        <v>39</v>
      </c>
      <c r="C11" s="6" t="e">
        <f>IF(#REF!="","",#REF!)</f>
        <v>#REF!</v>
      </c>
      <c r="D11" s="6" t="e">
        <f>IF(#REF!="","",#REF!)</f>
        <v>#REF!</v>
      </c>
      <c r="E11" s="6" t="e">
        <f>IF(#REF!="","",IF(OR(#REF!="Team A",#REF!=#REF!),#REF!,IF(OR(#REF!="Team B",#REF!=#REF!),#REF!,#REF!)))</f>
        <v>#REF!</v>
      </c>
      <c r="F11" s="6" t="e">
        <f t="shared" si="0"/>
        <v>#REF!</v>
      </c>
      <c r="G11" s="8" t="e">
        <f t="shared" si="1"/>
        <v>#REF!</v>
      </c>
      <c r="H11" s="6" t="s">
        <v>154</v>
      </c>
      <c r="I11" s="6" t="s">
        <v>155</v>
      </c>
      <c r="J11" s="6"/>
      <c r="K11" s="6"/>
      <c r="L11" s="6"/>
      <c r="M11" s="6"/>
      <c r="N11" s="6" t="s">
        <v>26</v>
      </c>
      <c r="O11" s="6" t="s">
        <v>54</v>
      </c>
      <c r="P11" s="6" t="s">
        <v>156</v>
      </c>
      <c r="Q11" s="6" t="e">
        <f>IF(#REF!="","",#REF!)</f>
        <v>#REF!</v>
      </c>
      <c r="R11" s="6" t="e">
        <f t="shared" si="2"/>
        <v>#REF!</v>
      </c>
      <c r="AA11" s="3" t="s">
        <v>106</v>
      </c>
      <c r="AE11" s="3" t="s">
        <v>90</v>
      </c>
      <c r="AH11" s="3" t="s">
        <v>92</v>
      </c>
      <c r="AJ11" s="3" t="s">
        <v>121</v>
      </c>
      <c r="AK11" s="3" t="s">
        <v>107</v>
      </c>
      <c r="AM11" s="3" t="s">
        <v>86</v>
      </c>
      <c r="AR11" s="3" t="s">
        <v>124</v>
      </c>
      <c r="AV11" s="3" t="s">
        <v>133</v>
      </c>
    </row>
    <row r="12" spans="1:50">
      <c r="A12" s="6" t="s">
        <v>22</v>
      </c>
      <c r="B12" s="6" t="s">
        <v>39</v>
      </c>
      <c r="C12" s="6" t="e">
        <f>IF(#REF!="","",#REF!)</f>
        <v>#REF!</v>
      </c>
      <c r="D12" s="6" t="e">
        <f>IF(#REF!="","",#REF!)</f>
        <v>#REF!</v>
      </c>
      <c r="E12" s="6" t="e">
        <f>IF(#REF!="","",IF(OR(#REF!="Team A",#REF!=#REF!),#REF!,IF(OR(#REF!="Team B",#REF!=#REF!),#REF!,#REF!)))</f>
        <v>#REF!</v>
      </c>
      <c r="F12" s="6" t="e">
        <f t="shared" si="0"/>
        <v>#REF!</v>
      </c>
      <c r="G12" s="8" t="e">
        <f t="shared" si="1"/>
        <v>#REF!</v>
      </c>
      <c r="H12" s="6" t="s">
        <v>157</v>
      </c>
      <c r="I12" s="6" t="s">
        <v>158</v>
      </c>
      <c r="J12" s="6"/>
      <c r="K12" s="6"/>
      <c r="L12" s="6"/>
      <c r="M12" s="6"/>
      <c r="N12" s="6" t="s">
        <v>28</v>
      </c>
      <c r="O12" s="6" t="s">
        <v>53</v>
      </c>
      <c r="P12" s="6" t="s">
        <v>159</v>
      </c>
      <c r="Q12" s="6" t="e">
        <f>IF(#REF!="","",#REF!)</f>
        <v>#REF!</v>
      </c>
      <c r="R12" s="6" t="e">
        <f t="shared" si="2"/>
        <v>#REF!</v>
      </c>
      <c r="AA12" s="3" t="s">
        <v>120</v>
      </c>
      <c r="AE12" s="3" t="s">
        <v>111</v>
      </c>
      <c r="AH12" s="3" t="s">
        <v>113</v>
      </c>
      <c r="AJ12" s="3" t="s">
        <v>133</v>
      </c>
      <c r="AK12" s="3" t="s">
        <v>121</v>
      </c>
      <c r="AM12" s="3" t="s">
        <v>107</v>
      </c>
      <c r="AR12" s="3" t="s">
        <v>135</v>
      </c>
      <c r="AV12" s="3" t="s">
        <v>93</v>
      </c>
    </row>
    <row r="13" spans="1:50">
      <c r="A13" s="6" t="s">
        <v>24</v>
      </c>
      <c r="B13" s="6" t="s">
        <v>39</v>
      </c>
      <c r="C13" s="6" t="e">
        <f>IF(#REF!="","",#REF!)</f>
        <v>#REF!</v>
      </c>
      <c r="D13" s="6" t="e">
        <f>IF(#REF!="","",#REF!)</f>
        <v>#REF!</v>
      </c>
      <c r="E13" s="6" t="e">
        <f>IF(#REF!="","",IF(OR(#REF!="Team A",#REF!=#REF!),#REF!,IF(OR(#REF!="Team B",#REF!=#REF!),#REF!,#REF!)))</f>
        <v>#REF!</v>
      </c>
      <c r="F13" s="6" t="e">
        <f t="shared" si="0"/>
        <v>#REF!</v>
      </c>
      <c r="G13" s="8" t="e">
        <f t="shared" si="1"/>
        <v>#REF!</v>
      </c>
      <c r="H13" s="6" t="s">
        <v>160</v>
      </c>
      <c r="I13" s="6" t="s">
        <v>161</v>
      </c>
      <c r="J13" s="6"/>
      <c r="K13" s="6"/>
      <c r="L13" s="6"/>
      <c r="M13" s="6"/>
      <c r="N13" s="6" t="s">
        <v>28</v>
      </c>
      <c r="O13" s="6" t="s">
        <v>54</v>
      </c>
      <c r="P13" s="6" t="s">
        <v>162</v>
      </c>
      <c r="Q13" s="6" t="e">
        <f>IF(#REF!="","",#REF!)</f>
        <v>#REF!</v>
      </c>
      <c r="R13" s="6" t="e">
        <f t="shared" si="2"/>
        <v>#REF!</v>
      </c>
      <c r="AA13" s="3" t="s">
        <v>132</v>
      </c>
      <c r="AE13" s="3" t="s">
        <v>124</v>
      </c>
      <c r="AH13" s="3" t="s">
        <v>126</v>
      </c>
      <c r="AJ13" s="3" t="s">
        <v>93</v>
      </c>
      <c r="AK13" s="3" t="s">
        <v>133</v>
      </c>
      <c r="AM13" s="3" t="s">
        <v>121</v>
      </c>
      <c r="AR13" s="3" t="s">
        <v>86</v>
      </c>
      <c r="AV13" s="3" t="s">
        <v>114</v>
      </c>
    </row>
    <row r="14" spans="1:50">
      <c r="A14" s="6" t="s">
        <v>26</v>
      </c>
      <c r="B14" s="6" t="s">
        <v>39</v>
      </c>
      <c r="C14" s="6" t="e">
        <f>IF(#REF!="","",#REF!)</f>
        <v>#REF!</v>
      </c>
      <c r="D14" s="6" t="e">
        <f>IF(#REF!="","",#REF!)</f>
        <v>#REF!</v>
      </c>
      <c r="E14" s="6" t="e">
        <f>IF(#REF!="","",IF(OR(#REF!="Team A",#REF!=#REF!),#REF!,IF(OR(#REF!="Team B",#REF!=#REF!),#REF!,#REF!)))</f>
        <v>#REF!</v>
      </c>
      <c r="F14" s="6" t="e">
        <f t="shared" si="0"/>
        <v>#REF!</v>
      </c>
      <c r="G14" s="8" t="e">
        <f t="shared" si="1"/>
        <v>#REF!</v>
      </c>
      <c r="H14" s="6" t="s">
        <v>163</v>
      </c>
      <c r="I14" s="6" t="s">
        <v>164</v>
      </c>
      <c r="J14" s="6"/>
      <c r="K14" s="6"/>
      <c r="L14" s="6"/>
      <c r="M14" s="6"/>
      <c r="N14" s="6" t="s">
        <v>18</v>
      </c>
      <c r="O14" s="6" t="s">
        <v>54</v>
      </c>
      <c r="P14" s="6" t="s">
        <v>165</v>
      </c>
      <c r="Q14" s="6" t="e">
        <f>IF(#REF!="","",#REF!)</f>
        <v>#REF!</v>
      </c>
      <c r="R14" s="6" t="e">
        <f t="shared" si="2"/>
        <v>#REF!</v>
      </c>
      <c r="AE14" s="3" t="s">
        <v>135</v>
      </c>
      <c r="AH14" s="3" t="s">
        <v>137</v>
      </c>
      <c r="AJ14" s="3" t="s">
        <v>114</v>
      </c>
      <c r="AK14" s="3" t="s">
        <v>93</v>
      </c>
      <c r="AM14" s="3" t="s">
        <v>133</v>
      </c>
      <c r="AR14" s="3" t="s">
        <v>107</v>
      </c>
      <c r="AV14" s="3" t="s">
        <v>127</v>
      </c>
    </row>
    <row r="15" spans="1:50">
      <c r="A15" s="6" t="s">
        <v>28</v>
      </c>
      <c r="B15" s="6" t="s">
        <v>39</v>
      </c>
      <c r="C15" s="6" t="e">
        <f>IF(#REF!="","",#REF!)</f>
        <v>#REF!</v>
      </c>
      <c r="D15" s="6" t="e">
        <f>IF(#REF!="","",#REF!)</f>
        <v>#REF!</v>
      </c>
      <c r="E15" s="6" t="e">
        <f>IF(#REF!="","",IF(OR(#REF!="Team A",#REF!=#REF!),#REF!,IF(OR(#REF!="Team B",#REF!=#REF!),#REF!,#REF!)))</f>
        <v>#REF!</v>
      </c>
      <c r="F15" s="6" t="e">
        <f t="shared" si="0"/>
        <v>#REF!</v>
      </c>
      <c r="G15" s="8" t="e">
        <f t="shared" si="1"/>
        <v>#REF!</v>
      </c>
      <c r="H15" s="6" t="s">
        <v>166</v>
      </c>
      <c r="I15" s="6" t="s">
        <v>167</v>
      </c>
      <c r="J15" s="6"/>
      <c r="K15" s="6"/>
      <c r="L15" s="6"/>
      <c r="M15" s="6"/>
      <c r="N15" s="6" t="s">
        <v>20</v>
      </c>
      <c r="O15" s="6" t="s">
        <v>53</v>
      </c>
      <c r="P15" s="6" t="s">
        <v>168</v>
      </c>
      <c r="Q15" s="6" t="e">
        <f>IF(#REF!="","",#REF!)</f>
        <v>#REF!</v>
      </c>
      <c r="R15" s="6" t="e">
        <f t="shared" si="2"/>
        <v>#REF!</v>
      </c>
      <c r="AE15" s="3" t="s">
        <v>92</v>
      </c>
      <c r="AH15" s="3" t="s">
        <v>86</v>
      </c>
      <c r="AJ15" s="3" t="s">
        <v>127</v>
      </c>
      <c r="AK15" s="3" t="s">
        <v>114</v>
      </c>
      <c r="AM15" s="3" t="s">
        <v>93</v>
      </c>
      <c r="AR15" s="3" t="s">
        <v>121</v>
      </c>
      <c r="AV15" s="3" t="s">
        <v>138</v>
      </c>
    </row>
    <row r="16" spans="1:50">
      <c r="A16" s="6" t="s">
        <v>30</v>
      </c>
      <c r="B16" s="6" t="s">
        <v>39</v>
      </c>
      <c r="C16" s="6" t="e">
        <f>IF(#REF!="","",#REF!)</f>
        <v>#REF!</v>
      </c>
      <c r="D16" s="6" t="e">
        <f>IF(#REF!="","",#REF!)</f>
        <v>#REF!</v>
      </c>
      <c r="E16" s="6" t="e">
        <f>IF(#REF!="","",IF(OR(#REF!="Team A",#REF!=#REF!),#REF!,IF(OR(#REF!="Team B",#REF!=#REF!),#REF!,#REF!)))</f>
        <v>#REF!</v>
      </c>
      <c r="F16" s="6" t="e">
        <f t="shared" si="0"/>
        <v>#REF!</v>
      </c>
      <c r="G16" s="8" t="e">
        <f t="shared" si="1"/>
        <v>#REF!</v>
      </c>
      <c r="H16" s="6" t="s">
        <v>169</v>
      </c>
      <c r="I16" s="6" t="s">
        <v>170</v>
      </c>
      <c r="J16" s="6"/>
      <c r="K16" s="6"/>
      <c r="L16" s="6"/>
      <c r="M16" s="6"/>
      <c r="N16" s="6" t="s">
        <v>20</v>
      </c>
      <c r="O16" s="6" t="s">
        <v>54</v>
      </c>
      <c r="P16" s="6" t="s">
        <v>171</v>
      </c>
      <c r="Q16" s="6" t="e">
        <f>IF(#REF!="","",#REF!)</f>
        <v>#REF!</v>
      </c>
      <c r="R16" s="6" t="e">
        <f t="shared" si="2"/>
        <v>#REF!</v>
      </c>
      <c r="AE16" s="3" t="s">
        <v>113</v>
      </c>
      <c r="AH16" s="3" t="s">
        <v>107</v>
      </c>
      <c r="AJ16" s="3" t="s">
        <v>138</v>
      </c>
      <c r="AK16" s="3" t="s">
        <v>127</v>
      </c>
      <c r="AM16" s="3" t="s">
        <v>114</v>
      </c>
      <c r="AR16" s="3" t="s">
        <v>133</v>
      </c>
      <c r="AV16" s="3" t="s">
        <v>89</v>
      </c>
    </row>
    <row r="17" spans="1:48">
      <c r="A17" s="6" t="s">
        <v>32</v>
      </c>
      <c r="B17" s="6" t="s">
        <v>39</v>
      </c>
      <c r="C17" s="6" t="e">
        <f>IF(#REF!="","",#REF!)</f>
        <v>#REF!</v>
      </c>
      <c r="D17" s="6" t="e">
        <f>IF(#REF!="","",#REF!)</f>
        <v>#REF!</v>
      </c>
      <c r="E17" s="6" t="e">
        <f>IF(#REF!="","",IF(OR(#REF!="Team A",#REF!=#REF!),#REF!,IF(OR(#REF!="Team B",#REF!=#REF!),#REF!,#REF!)))</f>
        <v>#REF!</v>
      </c>
      <c r="F17" s="6" t="e">
        <f t="shared" si="0"/>
        <v>#REF!</v>
      </c>
      <c r="G17" s="8" t="e">
        <f t="shared" si="1"/>
        <v>#REF!</v>
      </c>
      <c r="H17" s="6" t="s">
        <v>172</v>
      </c>
      <c r="I17" s="6" t="s">
        <v>173</v>
      </c>
      <c r="J17" s="6"/>
      <c r="K17" s="6"/>
      <c r="L17" s="6"/>
      <c r="M17" s="6"/>
      <c r="N17" s="6" t="s">
        <v>14</v>
      </c>
      <c r="O17" s="6" t="s">
        <v>53</v>
      </c>
      <c r="P17" s="6" t="s">
        <v>174</v>
      </c>
      <c r="Q17" s="6" t="e">
        <f>IF(#REF!="","",#REF!)</f>
        <v>#REF!</v>
      </c>
      <c r="R17" s="6" t="e">
        <f t="shared" si="2"/>
        <v>#REF!</v>
      </c>
      <c r="AE17" s="3" t="s">
        <v>126</v>
      </c>
      <c r="AH17" s="3" t="s">
        <v>121</v>
      </c>
      <c r="AJ17" s="3" t="s">
        <v>91</v>
      </c>
      <c r="AK17" s="3" t="s">
        <v>138</v>
      </c>
      <c r="AM17" s="3" t="s">
        <v>127</v>
      </c>
      <c r="AR17" s="3" t="s">
        <v>93</v>
      </c>
      <c r="AV17" s="3" t="s">
        <v>110</v>
      </c>
    </row>
    <row r="18" spans="1:48">
      <c r="A18" s="6" t="s">
        <v>34</v>
      </c>
      <c r="B18" s="6" t="s">
        <v>39</v>
      </c>
      <c r="C18" s="6" t="e">
        <f>IF(#REF!="","",#REF!)</f>
        <v>#REF!</v>
      </c>
      <c r="D18" s="6" t="e">
        <f>IF(#REF!="","",#REF!)</f>
        <v>#REF!</v>
      </c>
      <c r="E18" s="6" t="e">
        <f>IF(#REF!="","",IF(OR(#REF!="Team A",#REF!=#REF!),#REF!,IF(OR(#REF!="Team B",#REF!=#REF!),#REF!,#REF!)))</f>
        <v>#REF!</v>
      </c>
      <c r="F18" s="6" t="e">
        <f t="shared" si="0"/>
        <v>#REF!</v>
      </c>
      <c r="G18" s="8" t="e">
        <f t="shared" si="1"/>
        <v>#REF!</v>
      </c>
      <c r="H18" s="6" t="s">
        <v>175</v>
      </c>
      <c r="I18" s="6" t="s">
        <v>176</v>
      </c>
      <c r="J18" s="6"/>
      <c r="K18" s="6"/>
      <c r="L18" s="6"/>
      <c r="M18" s="6"/>
      <c r="N18" s="6" t="s">
        <v>14</v>
      </c>
      <c r="O18" s="6" t="s">
        <v>54</v>
      </c>
      <c r="P18" s="6" t="s">
        <v>177</v>
      </c>
      <c r="Q18" s="6" t="e">
        <f>IF(#REF!="","",#REF!)</f>
        <v>#REF!</v>
      </c>
      <c r="R18" s="6" t="e">
        <f t="shared" si="2"/>
        <v>#REF!</v>
      </c>
      <c r="AE18" s="3" t="s">
        <v>137</v>
      </c>
      <c r="AH18" s="3" t="s">
        <v>133</v>
      </c>
      <c r="AJ18" s="3" t="s">
        <v>112</v>
      </c>
      <c r="AM18" s="3" t="s">
        <v>138</v>
      </c>
      <c r="AR18" s="3" t="s">
        <v>114</v>
      </c>
      <c r="AV18" s="3" t="s">
        <v>123</v>
      </c>
    </row>
    <row r="19" spans="1:48">
      <c r="A19" s="6" t="s">
        <v>36</v>
      </c>
      <c r="B19" s="6" t="s">
        <v>39</v>
      </c>
      <c r="C19" s="6" t="e">
        <f>IF(#REF!="","",#REF!)</f>
        <v>#REF!</v>
      </c>
      <c r="D19" s="6" t="e">
        <f>IF(#REF!="","",#REF!)</f>
        <v>#REF!</v>
      </c>
      <c r="E19" s="6" t="e">
        <f>IF(#REF!="","",IF(OR(#REF!="Team A",#REF!=#REF!),#REF!,IF(OR(#REF!="Team B",#REF!=#REF!),#REF!,#REF!)))</f>
        <v>#REF!</v>
      </c>
      <c r="F19" s="6" t="e">
        <f t="shared" si="0"/>
        <v>#REF!</v>
      </c>
      <c r="G19" s="8" t="e">
        <f t="shared" si="1"/>
        <v>#REF!</v>
      </c>
      <c r="H19" s="6" t="s">
        <v>178</v>
      </c>
      <c r="I19" s="6" t="s">
        <v>179</v>
      </c>
      <c r="J19" s="6"/>
      <c r="K19" s="6"/>
      <c r="L19" s="6"/>
      <c r="M19" s="6"/>
      <c r="N19" s="6" t="s">
        <v>16</v>
      </c>
      <c r="O19" s="6" t="s">
        <v>53</v>
      </c>
      <c r="P19" s="6" t="s">
        <v>180</v>
      </c>
      <c r="Q19" s="6" t="e">
        <f>IF(#REF!="","",#REF!)</f>
        <v>#REF!</v>
      </c>
      <c r="R19" s="6" t="e">
        <f t="shared" si="2"/>
        <v>#REF!</v>
      </c>
      <c r="AJ19" s="3" t="s">
        <v>125</v>
      </c>
      <c r="AR19" s="3" t="s">
        <v>127</v>
      </c>
      <c r="AV19" s="3" t="s">
        <v>134</v>
      </c>
    </row>
    <row r="20" spans="1:48">
      <c r="A20" s="6" t="s">
        <v>7</v>
      </c>
      <c r="B20" s="6" t="s">
        <v>40</v>
      </c>
      <c r="C20" s="6" t="e">
        <f>IF(#REF!="","",#REF!)</f>
        <v>#REF!</v>
      </c>
      <c r="D20" s="6" t="e">
        <f>IF(#REF!="","",#REF!)</f>
        <v>#REF!</v>
      </c>
      <c r="E20" s="6" t="e">
        <f>IF(#REF!="","",IF(OR(#REF!="Team A",#REF!=#REF!),#REF!,IF(OR(#REF!="Team B",#REF!=#REF!),#REF!,#REF!)))</f>
        <v>#REF!</v>
      </c>
      <c r="F20" s="6" t="e">
        <f t="shared" si="0"/>
        <v>#REF!</v>
      </c>
      <c r="G20" s="8" t="e">
        <f t="shared" si="1"/>
        <v>#REF!</v>
      </c>
      <c r="H20" s="6" t="s">
        <v>181</v>
      </c>
      <c r="I20" s="6" t="s">
        <v>182</v>
      </c>
      <c r="J20" s="6"/>
      <c r="K20" s="6"/>
      <c r="L20" s="6"/>
      <c r="M20" s="6"/>
      <c r="N20" s="6" t="s">
        <v>16</v>
      </c>
      <c r="O20" s="6" t="s">
        <v>54</v>
      </c>
      <c r="P20" s="6" t="s">
        <v>183</v>
      </c>
      <c r="Q20" s="6" t="e">
        <f>IF(#REF!="","",#REF!)</f>
        <v>#REF!</v>
      </c>
      <c r="R20" s="6" t="e">
        <f t="shared" si="2"/>
        <v>#REF!</v>
      </c>
      <c r="AJ20" s="3" t="s">
        <v>136</v>
      </c>
      <c r="AR20" s="3" t="s">
        <v>138</v>
      </c>
    </row>
    <row r="21" spans="1:48">
      <c r="A21" s="6" t="s">
        <v>11</v>
      </c>
      <c r="B21" s="6" t="s">
        <v>40</v>
      </c>
      <c r="C21" s="6" t="e">
        <f>IF(#REF!="","",#REF!)</f>
        <v>#REF!</v>
      </c>
      <c r="D21" s="6" t="e">
        <f>IF(#REF!="","",#REF!)</f>
        <v>#REF!</v>
      </c>
      <c r="E21" s="6" t="e">
        <f>IF(#REF!="","",IF(OR(#REF!="Team A",#REF!=#REF!),#REF!,IF(OR(#REF!="Team B",#REF!=#REF!),#REF!,#REF!)))</f>
        <v>#REF!</v>
      </c>
      <c r="F21" s="6" t="e">
        <f t="shared" si="0"/>
        <v>#REF!</v>
      </c>
      <c r="G21" s="8" t="e">
        <f t="shared" si="1"/>
        <v>#REF!</v>
      </c>
      <c r="H21" s="6" t="s">
        <v>184</v>
      </c>
      <c r="I21" s="6" t="s">
        <v>185</v>
      </c>
      <c r="J21" s="6"/>
      <c r="K21" s="6"/>
      <c r="L21" s="6"/>
      <c r="M21" s="6"/>
      <c r="N21" s="6" t="s">
        <v>34</v>
      </c>
      <c r="O21" s="6" t="s">
        <v>54</v>
      </c>
      <c r="P21" s="6" t="s">
        <v>186</v>
      </c>
      <c r="Q21" s="6" t="e">
        <f>IF(#REF!="","",#REF!)</f>
        <v>#REF!</v>
      </c>
      <c r="R21" s="6" t="e">
        <f t="shared" si="2"/>
        <v>#REF!</v>
      </c>
    </row>
    <row r="22" spans="1:48">
      <c r="A22" s="6" t="s">
        <v>15</v>
      </c>
      <c r="B22" s="6" t="s">
        <v>40</v>
      </c>
      <c r="C22" s="6" t="e">
        <f>IF(#REF!="","",#REF!)</f>
        <v>#REF!</v>
      </c>
      <c r="D22" s="6" t="e">
        <f>IF(#REF!="","",#REF!)</f>
        <v>#REF!</v>
      </c>
      <c r="E22" s="6" t="e">
        <f>IF(#REF!="","",IF(OR(#REF!="Team A",#REF!=#REF!),#REF!,IF(OR(#REF!="Team B",#REF!=#REF!),#REF!,#REF!)))</f>
        <v>#REF!</v>
      </c>
      <c r="F22" s="6" t="e">
        <f t="shared" si="0"/>
        <v>#REF!</v>
      </c>
      <c r="G22" s="8" t="e">
        <f t="shared" si="1"/>
        <v>#REF!</v>
      </c>
      <c r="H22" s="6" t="s">
        <v>187</v>
      </c>
      <c r="I22" s="6" t="s">
        <v>188</v>
      </c>
      <c r="J22" s="6"/>
      <c r="K22" s="6"/>
      <c r="L22" s="6"/>
      <c r="M22" s="6"/>
      <c r="N22" s="6" t="s">
        <v>30</v>
      </c>
      <c r="O22" s="6" t="s">
        <v>53</v>
      </c>
      <c r="P22" s="6" t="s">
        <v>189</v>
      </c>
      <c r="Q22" s="6" t="e">
        <f>IF(#REF!="","",#REF!)</f>
        <v>#REF!</v>
      </c>
      <c r="R22" s="6" t="e">
        <f t="shared" si="2"/>
        <v>#REF!</v>
      </c>
    </row>
    <row r="23" spans="1:48">
      <c r="A23" s="6" t="s">
        <v>19</v>
      </c>
      <c r="B23" s="6" t="s">
        <v>40</v>
      </c>
      <c r="C23" s="6" t="e">
        <f>IF(#REF!="","",#REF!)</f>
        <v>#REF!</v>
      </c>
      <c r="D23" s="6" t="e">
        <f>IF(#REF!="","",#REF!)</f>
        <v>#REF!</v>
      </c>
      <c r="E23" s="6" t="e">
        <f>IF(#REF!="","",IF(OR(#REF!="Team A",#REF!=#REF!),#REF!,IF(OR(#REF!="Team B",#REF!=#REF!),#REF!,#REF!)))</f>
        <v>#REF!</v>
      </c>
      <c r="F23" s="6" t="e">
        <f t="shared" si="0"/>
        <v>#REF!</v>
      </c>
      <c r="G23" s="8" t="e">
        <f t="shared" si="1"/>
        <v>#REF!</v>
      </c>
      <c r="H23" s="6" t="s">
        <v>190</v>
      </c>
      <c r="I23" s="6" t="s">
        <v>191</v>
      </c>
      <c r="J23" s="6"/>
      <c r="K23" s="6"/>
      <c r="L23" s="6"/>
      <c r="M23" s="6"/>
      <c r="N23" s="6" t="s">
        <v>30</v>
      </c>
      <c r="O23" s="6" t="s">
        <v>54</v>
      </c>
      <c r="P23" s="6" t="s">
        <v>192</v>
      </c>
      <c r="Q23" s="6" t="e">
        <f>IF(#REF!="","",#REF!)</f>
        <v>#REF!</v>
      </c>
      <c r="R23" s="6" t="e">
        <f t="shared" si="2"/>
        <v>#REF!</v>
      </c>
    </row>
    <row r="24" spans="1:48">
      <c r="A24" s="6" t="s">
        <v>23</v>
      </c>
      <c r="B24" s="6" t="s">
        <v>40</v>
      </c>
      <c r="C24" s="6" t="e">
        <f>IF(#REF!="","",#REF!)</f>
        <v>#REF!</v>
      </c>
      <c r="D24" s="6" t="e">
        <f>IF(#REF!="","",#REF!)</f>
        <v>#REF!</v>
      </c>
      <c r="E24" s="6" t="e">
        <f>IF(#REF!="","",IF(OR(#REF!="Team A",#REF!=#REF!),#REF!,IF(OR(#REF!="Team B",#REF!=#REF!),#REF!,#REF!)))</f>
        <v>#REF!</v>
      </c>
      <c r="F24" s="6" t="e">
        <f t="shared" si="0"/>
        <v>#REF!</v>
      </c>
      <c r="G24" s="8" t="e">
        <f t="shared" si="1"/>
        <v>#REF!</v>
      </c>
      <c r="H24" s="6" t="s">
        <v>193</v>
      </c>
      <c r="I24" s="6" t="s">
        <v>194</v>
      </c>
      <c r="J24" s="6"/>
      <c r="K24" s="6"/>
      <c r="L24" s="6"/>
      <c r="M24" s="6"/>
      <c r="N24" s="6" t="s">
        <v>36</v>
      </c>
      <c r="O24" s="6" t="s">
        <v>53</v>
      </c>
      <c r="P24" s="6" t="s">
        <v>195</v>
      </c>
      <c r="Q24" s="6" t="e">
        <f>IF(#REF!="","",#REF!)</f>
        <v>#REF!</v>
      </c>
      <c r="R24" s="6" t="e">
        <f t="shared" si="2"/>
        <v>#REF!</v>
      </c>
    </row>
    <row r="25" spans="1:48">
      <c r="A25" s="6" t="s">
        <v>27</v>
      </c>
      <c r="B25" s="6" t="s">
        <v>40</v>
      </c>
      <c r="C25" s="6" t="e">
        <f>IF(#REF!="","",#REF!)</f>
        <v>#REF!</v>
      </c>
      <c r="D25" s="6" t="e">
        <f>IF(#REF!="","",#REF!)</f>
        <v>#REF!</v>
      </c>
      <c r="E25" s="6" t="e">
        <f>IF(#REF!="","",IF(OR(#REF!="Team A",#REF!=#REF!),#REF!,IF(OR(#REF!="Team B",#REF!=#REF!),#REF!,#REF!)))</f>
        <v>#REF!</v>
      </c>
      <c r="F25" s="6" t="e">
        <f t="shared" si="0"/>
        <v>#REF!</v>
      </c>
      <c r="G25" s="8" t="e">
        <f t="shared" si="1"/>
        <v>#REF!</v>
      </c>
      <c r="H25" s="6" t="s">
        <v>196</v>
      </c>
      <c r="I25" s="6" t="s">
        <v>197</v>
      </c>
      <c r="J25" s="6"/>
      <c r="K25" s="6"/>
      <c r="L25" s="6"/>
      <c r="M25" s="6"/>
      <c r="N25" s="6" t="s">
        <v>36</v>
      </c>
      <c r="O25" s="6" t="s">
        <v>54</v>
      </c>
      <c r="P25" s="6" t="s">
        <v>198</v>
      </c>
      <c r="Q25" s="6" t="e">
        <f>IF(#REF!="","",#REF!)</f>
        <v>#REF!</v>
      </c>
      <c r="R25" s="6" t="e">
        <f t="shared" si="2"/>
        <v>#REF!</v>
      </c>
    </row>
    <row r="26" spans="1:48">
      <c r="A26" s="6" t="s">
        <v>31</v>
      </c>
      <c r="B26" s="6" t="s">
        <v>40</v>
      </c>
      <c r="C26" s="6" t="e">
        <f>IF(#REF!="","",#REF!)</f>
        <v>#REF!</v>
      </c>
      <c r="D26" s="6" t="e">
        <f>IF(#REF!="","",#REF!)</f>
        <v>#REF!</v>
      </c>
      <c r="E26" s="6" t="e">
        <f>IF(#REF!="","",IF(OR(#REF!="Team A",#REF!=#REF!),#REF!,IF(OR(#REF!="Team B",#REF!=#REF!),#REF!,#REF!)))</f>
        <v>#REF!</v>
      </c>
      <c r="F26" s="6" t="e">
        <f t="shared" si="0"/>
        <v>#REF!</v>
      </c>
      <c r="G26" s="8" t="e">
        <f t="shared" si="1"/>
        <v>#REF!</v>
      </c>
      <c r="H26" s="6" t="s">
        <v>199</v>
      </c>
      <c r="I26" s="6" t="s">
        <v>200</v>
      </c>
      <c r="J26" s="6"/>
      <c r="K26" s="6"/>
      <c r="L26" s="6"/>
      <c r="M26" s="6"/>
      <c r="N26" s="6" t="s">
        <v>32</v>
      </c>
      <c r="O26" s="6" t="s">
        <v>53</v>
      </c>
      <c r="P26" s="6" t="s">
        <v>201</v>
      </c>
      <c r="Q26" s="6" t="e">
        <f>IF(#REF!="","",#REF!)</f>
        <v>#REF!</v>
      </c>
      <c r="R26" s="6" t="e">
        <f t="shared" si="2"/>
        <v>#REF!</v>
      </c>
    </row>
    <row r="27" spans="1:48">
      <c r="A27" s="6" t="s">
        <v>35</v>
      </c>
      <c r="B27" s="6" t="s">
        <v>40</v>
      </c>
      <c r="C27" s="6" t="e">
        <f>IF(#REF!="","",#REF!)</f>
        <v>#REF!</v>
      </c>
      <c r="D27" s="6" t="e">
        <f>IF(#REF!="","",#REF!)</f>
        <v>#REF!</v>
      </c>
      <c r="E27" s="6" t="e">
        <f>IF(#REF!="","",IF(OR(#REF!="Team A",#REF!=#REF!),#REF!,IF(OR(#REF!="Team B",#REF!=#REF!),#REF!,#REF!)))</f>
        <v>#REF!</v>
      </c>
      <c r="F27" s="6" t="e">
        <f t="shared" si="0"/>
        <v>#REF!</v>
      </c>
      <c r="G27" s="8" t="e">
        <f t="shared" si="1"/>
        <v>#REF!</v>
      </c>
      <c r="H27" s="6" t="s">
        <v>202</v>
      </c>
      <c r="I27" s="6" t="s">
        <v>203</v>
      </c>
      <c r="J27" s="6"/>
      <c r="K27" s="6"/>
      <c r="L27" s="6"/>
      <c r="M27" s="6"/>
      <c r="N27" s="6" t="s">
        <v>32</v>
      </c>
      <c r="O27" s="6" t="s">
        <v>54</v>
      </c>
      <c r="P27" s="6" t="s">
        <v>204</v>
      </c>
      <c r="Q27" s="6" t="e">
        <f>IF(#REF!="","",#REF!)</f>
        <v>#REF!</v>
      </c>
      <c r="R27" s="6" t="e">
        <f t="shared" si="2"/>
        <v>#REF!</v>
      </c>
    </row>
    <row r="28" spans="1:48">
      <c r="A28" s="6" t="s">
        <v>9</v>
      </c>
      <c r="B28" s="6" t="s">
        <v>41</v>
      </c>
      <c r="C28" s="6" t="e">
        <f>IF(#REF!="","",#REF!)</f>
        <v>#REF!</v>
      </c>
      <c r="D28" s="6" t="e">
        <f>IF(#REF!="","",#REF!)</f>
        <v>#REF!</v>
      </c>
      <c r="E28" s="6" t="e">
        <f>IF(#REF!="","",IF(OR(#REF!="Team A",#REF!=#REF!),#REF!,IF(OR(#REF!="Team B",#REF!=#REF!),#REF!,#REF!)))</f>
        <v>#REF!</v>
      </c>
      <c r="F28" s="6" t="e">
        <f t="shared" si="0"/>
        <v>#REF!</v>
      </c>
      <c r="G28" s="8" t="e">
        <f t="shared" si="1"/>
        <v>#REF!</v>
      </c>
      <c r="H28" s="6" t="s">
        <v>205</v>
      </c>
      <c r="I28" s="6" t="s">
        <v>206</v>
      </c>
      <c r="J28" s="6"/>
      <c r="K28" s="6"/>
      <c r="L28" s="6"/>
      <c r="M28" s="6"/>
    </row>
    <row r="29" spans="1:48">
      <c r="A29" s="6" t="s">
        <v>17</v>
      </c>
      <c r="B29" s="6" t="s">
        <v>41</v>
      </c>
      <c r="C29" s="6" t="e">
        <f>IF(#REF!="","",#REF!)</f>
        <v>#REF!</v>
      </c>
      <c r="D29" s="6" t="e">
        <f>IF(#REF!="","",#REF!)</f>
        <v>#REF!</v>
      </c>
      <c r="E29" s="6" t="e">
        <f>IF(#REF!="","",IF(OR(#REF!="Team A",#REF!=#REF!),#REF!,IF(OR(#REF!="Team B",#REF!=#REF!),#REF!,#REF!)))</f>
        <v>#REF!</v>
      </c>
      <c r="F29" s="6" t="e">
        <f t="shared" si="0"/>
        <v>#REF!</v>
      </c>
      <c r="G29" s="8" t="e">
        <f t="shared" si="1"/>
        <v>#REF!</v>
      </c>
      <c r="H29" s="6" t="s">
        <v>207</v>
      </c>
      <c r="I29" s="6" t="s">
        <v>208</v>
      </c>
      <c r="J29" s="6"/>
      <c r="K29" s="6"/>
      <c r="L29" s="6"/>
      <c r="M29" s="6"/>
    </row>
    <row r="30" spans="1:48">
      <c r="A30" s="6" t="s">
        <v>25</v>
      </c>
      <c r="B30" s="6" t="s">
        <v>41</v>
      </c>
      <c r="C30" s="6" t="e">
        <f>IF(#REF!="","",#REF!)</f>
        <v>#REF!</v>
      </c>
      <c r="D30" s="6" t="e">
        <f>IF(#REF!="","",#REF!)</f>
        <v>#REF!</v>
      </c>
      <c r="E30" s="6" t="e">
        <f>IF(#REF!="","",IF(OR(#REF!="Team A",#REF!=#REF!),#REF!,IF(OR(#REF!="Team B",#REF!=#REF!),#REF!,#REF!)))</f>
        <v>#REF!</v>
      </c>
      <c r="F30" s="6" t="e">
        <f t="shared" si="0"/>
        <v>#REF!</v>
      </c>
      <c r="G30" s="8" t="e">
        <f t="shared" si="1"/>
        <v>#REF!</v>
      </c>
      <c r="H30" s="6" t="s">
        <v>209</v>
      </c>
      <c r="I30" s="6" t="s">
        <v>210</v>
      </c>
      <c r="J30" s="6"/>
      <c r="K30" s="6"/>
      <c r="L30" s="6"/>
      <c r="M30" s="6"/>
    </row>
    <row r="31" spans="1:48">
      <c r="A31" s="6" t="s">
        <v>33</v>
      </c>
      <c r="B31" s="6" t="s">
        <v>41</v>
      </c>
      <c r="C31" s="6" t="e">
        <f>IF(#REF!="","",#REF!)</f>
        <v>#REF!</v>
      </c>
      <c r="D31" s="6" t="e">
        <f>IF(#REF!="","",#REF!)</f>
        <v>#REF!</v>
      </c>
      <c r="E31" s="6" t="e">
        <f>IF(#REF!="","",IF(OR(#REF!="Team A",#REF!=#REF!),#REF!,IF(OR(#REF!="Team B",#REF!=#REF!),#REF!,#REF!)))</f>
        <v>#REF!</v>
      </c>
      <c r="F31" s="6" t="e">
        <f t="shared" si="0"/>
        <v>#REF!</v>
      </c>
      <c r="G31" s="8" t="e">
        <f t="shared" si="1"/>
        <v>#REF!</v>
      </c>
      <c r="H31" s="6" t="s">
        <v>211</v>
      </c>
      <c r="I31" s="6" t="s">
        <v>212</v>
      </c>
      <c r="J31" s="6"/>
      <c r="K31" s="6"/>
      <c r="L31" s="6"/>
      <c r="M31" s="6"/>
    </row>
    <row r="32" spans="1:48">
      <c r="A32" s="6" t="s">
        <v>13</v>
      </c>
      <c r="B32" s="6" t="s">
        <v>42</v>
      </c>
      <c r="C32" s="6" t="e">
        <f>IF(#REF!="","",#REF!)</f>
        <v>#REF!</v>
      </c>
      <c r="D32" s="6" t="e">
        <f>IF(#REF!="","",#REF!)</f>
        <v>#REF!</v>
      </c>
      <c r="E32" s="6" t="e">
        <f>IF(#REF!="","",IF(OR(#REF!="Team A",#REF!=#REF!),#REF!,IF(OR(#REF!="Team B",#REF!=#REF!),#REF!,#REF!)))</f>
        <v>#REF!</v>
      </c>
      <c r="F32" s="6" t="e">
        <f t="shared" si="0"/>
        <v>#REF!</v>
      </c>
      <c r="G32" s="8" t="e">
        <f t="shared" si="1"/>
        <v>#REF!</v>
      </c>
      <c r="H32" s="6" t="s">
        <v>213</v>
      </c>
      <c r="I32" s="6" t="s">
        <v>214</v>
      </c>
      <c r="J32" s="6"/>
      <c r="K32" s="6"/>
      <c r="L32" s="6"/>
      <c r="M32" s="6"/>
    </row>
    <row r="33" spans="1:13">
      <c r="A33" s="6" t="s">
        <v>29</v>
      </c>
      <c r="B33" s="6" t="s">
        <v>42</v>
      </c>
      <c r="C33" s="6" t="e">
        <f>IF(#REF!="","",#REF!)</f>
        <v>#REF!</v>
      </c>
      <c r="D33" s="6" t="e">
        <f>IF(#REF!="","",#REF!)</f>
        <v>#REF!</v>
      </c>
      <c r="E33" s="6" t="e">
        <f>IF(#REF!="","",IF(OR(#REF!="Team A",#REF!=#REF!),#REF!,IF(OR(#REF!="Team B",#REF!=#REF!),#REF!,#REF!)))</f>
        <v>#REF!</v>
      </c>
      <c r="F33" s="6" t="e">
        <f t="shared" si="0"/>
        <v>#REF!</v>
      </c>
      <c r="G33" s="8" t="e">
        <f t="shared" si="1"/>
        <v>#REF!</v>
      </c>
      <c r="H33" s="6" t="s">
        <v>215</v>
      </c>
      <c r="I33" s="6" t="s">
        <v>216</v>
      </c>
      <c r="J33" s="6"/>
      <c r="K33" s="6"/>
      <c r="L33" s="6"/>
      <c r="M33" s="6"/>
    </row>
    <row r="34" spans="1:13">
      <c r="A34" s="6" t="s">
        <v>21</v>
      </c>
      <c r="B34" s="6" t="s">
        <v>5</v>
      </c>
      <c r="C34" s="6" t="e">
        <f>IF(#REF!="","",#REF!)</f>
        <v>#REF!</v>
      </c>
      <c r="D34" s="6" t="e">
        <f>IF(#REF!="","",#REF!)</f>
        <v>#REF!</v>
      </c>
      <c r="E34" s="6" t="e">
        <f>IF(#REF!="","",IF(OR(#REF!="Team A",#REF!=#REF!),#REF!,IF(OR(#REF!="Team B",#REF!=#REF!),#REF!,#REF!)))</f>
        <v>#REF!</v>
      </c>
      <c r="F34" s="6" t="e">
        <f t="shared" si="0"/>
        <v>#REF!</v>
      </c>
      <c r="G34" s="8" t="e">
        <f t="shared" si="1"/>
        <v>#REF!</v>
      </c>
      <c r="H34" s="6" t="s">
        <v>217</v>
      </c>
      <c r="I34" s="6" t="s">
        <v>218</v>
      </c>
      <c r="J34" s="6"/>
      <c r="K34" s="6"/>
      <c r="L34" s="6"/>
      <c r="M34" s="6"/>
    </row>
    <row r="35" spans="1:1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</sheetData>
  <mergeCells count="2">
    <mergeCell ref="A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Results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Pusch</dc:creator>
  <cp:lastModifiedBy>Jason Yoo</cp:lastModifiedBy>
  <dcterms:created xsi:type="dcterms:W3CDTF">2026-06-25T22:54:24Z</dcterms:created>
  <dcterms:modified xsi:type="dcterms:W3CDTF">2026-06-26T20:04:01Z</dcterms:modified>
</cp:coreProperties>
</file>