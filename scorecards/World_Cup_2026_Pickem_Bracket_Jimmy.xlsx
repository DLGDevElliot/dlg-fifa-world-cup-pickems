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heelprosllc-my.sharepoint.com/personal/jimmyn_wheelpros_com/Documents/Desktop/"/>
    </mc:Choice>
  </mc:AlternateContent>
  <xr:revisionPtr revIDLastSave="40" documentId="8_{DA5A3F61-028D-4178-8DB2-0AA67D8124B1}" xr6:coauthVersionLast="47" xr6:coauthVersionMax="47" xr10:uidLastSave="{7F43CB72-1731-4F05-A7AA-B72620534266}"/>
  <bookViews>
    <workbookView xWindow="-110" yWindow="-110" windowWidth="38620" windowHeight="21100" xr2:uid="{00000000-000D-0000-FFFF-FFFF00000000}"/>
  </bookViews>
  <sheets>
    <sheet name="Bracket" sheetId="1" r:id="rId1"/>
    <sheet name="Resul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C4" i="1"/>
  <c r="D21" i="2"/>
  <c r="C21" i="2"/>
  <c r="D20" i="2"/>
  <c r="C20" i="2"/>
  <c r="D19" i="2"/>
  <c r="C19" i="2"/>
  <c r="D18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E4" i="1"/>
  <c r="C18" i="2" l="1"/>
  <c r="B4" i="1"/>
  <c r="F3" i="1" s="1"/>
</calcChain>
</file>

<file path=xl/sharedStrings.xml><?xml version="1.0" encoding="utf-8"?>
<sst xmlns="http://schemas.openxmlformats.org/spreadsheetml/2006/main" count="193" uniqueCount="87">
  <si>
    <t>2026 FIFA World Cup Pick'em Bracket</t>
  </si>
  <si>
    <t>Name</t>
  </si>
  <si>
    <t>Points</t>
  </si>
  <si>
    <t>Total Goals Scored</t>
  </si>
  <si>
    <t>Round of 32</t>
  </si>
  <si>
    <t>Round of 16</t>
  </si>
  <si>
    <t>Quarter Finals</t>
  </si>
  <si>
    <t>Semi Finals</t>
  </si>
  <si>
    <t>Final</t>
  </si>
  <si>
    <t>World Cup Winner</t>
  </si>
  <si>
    <t>Game 1</t>
  </si>
  <si>
    <t>Germany</t>
  </si>
  <si>
    <t>France</t>
  </si>
  <si>
    <t>Game 2</t>
  </si>
  <si>
    <t>Sweden</t>
  </si>
  <si>
    <t>Game 3</t>
  </si>
  <si>
    <t>South Africa</t>
  </si>
  <si>
    <t>Canada</t>
  </si>
  <si>
    <t>Netherlands</t>
  </si>
  <si>
    <t>Game 4</t>
  </si>
  <si>
    <t>Morocco</t>
  </si>
  <si>
    <t>Game 5</t>
  </si>
  <si>
    <t>Portugal</t>
  </si>
  <si>
    <t>Ghana</t>
  </si>
  <si>
    <t>Spain</t>
  </si>
  <si>
    <t>Game 6</t>
  </si>
  <si>
    <t>Algeria</t>
  </si>
  <si>
    <t>Game 7</t>
  </si>
  <si>
    <t>United States</t>
  </si>
  <si>
    <t>Game 8</t>
  </si>
  <si>
    <t>Game 9</t>
  </si>
  <si>
    <t>Brazil</t>
  </si>
  <si>
    <t>Game 10</t>
  </si>
  <si>
    <t>Ivory Coast</t>
  </si>
  <si>
    <t>Mexico</t>
  </si>
  <si>
    <t>Senegal</t>
  </si>
  <si>
    <t>Game 11</t>
  </si>
  <si>
    <t>Argentina</t>
  </si>
  <si>
    <t>Game 12</t>
  </si>
  <si>
    <t>England</t>
  </si>
  <si>
    <t>Austria</t>
  </si>
  <si>
    <t>Game 13</t>
  </si>
  <si>
    <t>Cape Verde</t>
  </si>
  <si>
    <t>Game 14</t>
  </si>
  <si>
    <t>Australia</t>
  </si>
  <si>
    <t>Egypt</t>
  </si>
  <si>
    <t>Game 15</t>
  </si>
  <si>
    <t>Switzerland</t>
  </si>
  <si>
    <t>Ecuador</t>
  </si>
  <si>
    <t>Norway</t>
  </si>
  <si>
    <t>Game 16</t>
  </si>
  <si>
    <t>Game</t>
  </si>
  <si>
    <t>Round</t>
  </si>
  <si>
    <t>Team A</t>
  </si>
  <si>
    <t>Team B</t>
  </si>
  <si>
    <t>Actual Winner</t>
  </si>
  <si>
    <t>Actual Goals</t>
  </si>
  <si>
    <t xml:space="preserve">Points </t>
  </si>
  <si>
    <t>R32</t>
  </si>
  <si>
    <t>Japan</t>
  </si>
  <si>
    <t>DR Congo</t>
  </si>
  <si>
    <t>Croatia</t>
  </si>
  <si>
    <t>Columbia</t>
  </si>
  <si>
    <t>Game 17</t>
  </si>
  <si>
    <t>R16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</si>
  <si>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</si>
  <si>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</si>
  <si>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</si>
  <si>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</si>
  <si>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</si>
  <si>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</si>
  <si>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</si>
  <si>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</si>
  <si>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QF</t>
  </si>
  <si>
    <t>Game 26</t>
  </si>
  <si>
    <t>Game 27</t>
  </si>
  <si>
    <t>Game 28</t>
  </si>
  <si>
    <t>Game 29</t>
  </si>
  <si>
    <t>SF</t>
  </si>
  <si>
    <t>Game 30</t>
  </si>
  <si>
    <t>Game 31</t>
  </si>
  <si>
    <t>Belgium</t>
  </si>
  <si>
    <t>Paraguay</t>
  </si>
  <si>
    <t>Bosnia-Herz</t>
  </si>
  <si>
    <t>Total Bracket Score</t>
  </si>
  <si>
    <t>Fill orange pick cells from left to right. This version has final Round of 32 teams populated.</t>
  </si>
  <si>
    <t>Jimmy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</si>
</sst>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scheme val="minor"/>
    </font>
    <font>
      <b/>
      <sz val="18"/>
      <color rgb="FFFFFFFF"/>
      <name val="Carlito"/>
    </font>
    <font>
      <sz val="11"/>
      <name val="Arial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0B5D3B"/>
      <name val="Carlito"/>
    </font>
    <font>
      <sz val="11"/>
      <name val="Carlito"/>
    </font>
    <font>
      <b/>
      <sz val="11"/>
      <color rgb="FF1D4E89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5D3B"/>
        <bgColor rgb="FF0B5D3B"/>
      </patternFill>
    </fill>
    <fill>
      <patternFill patternType="solid">
        <fgColor rgb="FFFFF3C4"/>
        <bgColor rgb="FFFFF3C4"/>
      </patternFill>
    </fill>
    <fill>
      <patternFill patternType="solid">
        <fgColor rgb="FFDFF3E6"/>
        <bgColor rgb="FFDFF3E6"/>
      </patternFill>
    </fill>
    <fill>
      <patternFill patternType="solid">
        <fgColor rgb="FFC1F0C8"/>
        <bgColor rgb="FFC1F0C8"/>
      </patternFill>
    </fill>
    <fill>
      <patternFill patternType="solid">
        <fgColor rgb="FFF4F6F8"/>
        <bgColor rgb="FFF4F6F8"/>
      </patternFill>
    </fill>
    <fill>
      <patternFill patternType="solid">
        <fgColor rgb="FFAEAEAE"/>
        <bgColor rgb="FFAEAEAE"/>
      </patternFill>
    </fill>
    <fill>
      <patternFill patternType="solid">
        <fgColor rgb="FF1D4E89"/>
        <bgColor rgb="FF1D4E8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3C4"/>
      </patternFill>
    </fill>
  </fills>
  <borders count="17">
    <border>
      <left/>
      <right/>
      <top/>
      <bottom/>
      <diagonal/>
    </border>
    <border>
      <left style="medium">
        <color rgb="FFB48900"/>
      </left>
      <right/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/>
      <right/>
      <top/>
      <bottom style="thin">
        <color rgb="FFAAB4C0"/>
      </bottom>
      <diagonal/>
    </border>
    <border>
      <left/>
      <right/>
      <top style="thin">
        <color rgb="FFAAB4C0"/>
      </top>
      <bottom/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4" borderId="15" xfId="0" applyFont="1" applyFill="1" applyBorder="1" applyAlignment="1">
      <alignment horizontal="center"/>
    </xf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4" fillId="7" borderId="8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6" borderId="11" xfId="0" applyFont="1" applyFill="1" applyBorder="1" applyAlignment="1">
      <alignment horizontal="center" vertical="center"/>
    </xf>
    <xf numFmtId="0" fontId="2" fillId="0" borderId="10" xfId="0" applyFont="1" applyBorder="1"/>
    <xf numFmtId="0" fontId="7" fillId="6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10" borderId="1" xfId="0" applyFont="1" applyFill="1" applyBorder="1" applyAlignment="1">
      <alignment horizontal="center" vertical="center"/>
    </xf>
    <xf numFmtId="0" fontId="2" fillId="9" borderId="2" xfId="0" applyFont="1" applyFill="1" applyBorder="1"/>
    <xf numFmtId="0" fontId="2" fillId="9" borderId="3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tabSelected="1" workbookViewId="0">
      <selection activeCell="M12" sqref="M12"/>
    </sheetView>
  </sheetViews>
  <sheetFormatPr defaultColWidth="14.36328125" defaultRowHeight="15" customHeight="1"/>
  <cols>
    <col min="1" max="1" width="20.36328125" customWidth="1"/>
    <col min="2" max="2" width="24.90625" bestFit="1" customWidth="1"/>
    <col min="3" max="3" width="23" customWidth="1"/>
    <col min="4" max="4" width="22" customWidth="1"/>
    <col min="5" max="5" width="24.08984375" customWidth="1"/>
    <col min="6" max="6" width="25.36328125" customWidth="1"/>
    <col min="7" max="7" width="24" customWidth="1"/>
    <col min="8" max="11" width="8.81640625" customWidth="1"/>
  </cols>
  <sheetData>
    <row r="1" spans="1:7" ht="21.75" customHeight="1">
      <c r="A1" s="21" t="s">
        <v>0</v>
      </c>
      <c r="B1" s="22"/>
      <c r="C1" s="22"/>
      <c r="D1" s="22"/>
      <c r="E1" s="22"/>
      <c r="F1" s="22"/>
      <c r="G1" s="22"/>
    </row>
    <row r="2" spans="1:7" ht="21.75" customHeight="1">
      <c r="A2" s="1" t="s">
        <v>85</v>
      </c>
    </row>
    <row r="3" spans="1:7" ht="21.75" customHeight="1">
      <c r="A3" s="2" t="s">
        <v>1</v>
      </c>
      <c r="B3" s="23" t="s">
        <v>86</v>
      </c>
      <c r="C3" s="24"/>
      <c r="D3" s="25"/>
      <c r="E3" s="2" t="s">
        <v>84</v>
      </c>
      <c r="F3" s="3">
        <f>SUM(B4:F4)</f>
        <v>-4.3000000000000016</v>
      </c>
    </row>
    <row r="4" spans="1:7" ht="21.75" customHeight="1" thickBot="1">
      <c r="A4" s="2" t="s">
        <v>2</v>
      </c>
      <c r="B4" s="10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-3.8000000000000007</v>
      </c>
      <c r="C4" s="4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-1.4000000000000004</v>
      </c>
      <c r="D4" s="11">
        <f>IF(D5=SUM(Results!F26:F29),1,1-ABS((D5-SUM(Results!F26:F29))*0.1))+IF(E11=Results!E26,Results!G26,0)+IF(Bracket!E19=Results!E27,Results!G27,0)+IF(Bracket!E27=Results!E28,Results!G28,0)+IF(Bracket!E35=Results!E29,Results!G29,0)</f>
        <v>-0.20000000000000018</v>
      </c>
      <c r="E4" s="4">
        <f>IF(E5=SUM(Results!F30:F31),1,1-ABS((E5-SUM(Results!F30:F31))*0.1))+IF(Bracket!F14=Results!E30,Results!G30,0)+IF(Bracket!F30=Results!E31,Results!G31,0)</f>
        <v>0.39999999999999991</v>
      </c>
      <c r="F4" s="12">
        <f>IF(F5=SUM(Results!F32),1,1-ABS((F5-SUM(Results!F32))*0.1))+IF(G19=Results!E32,Results!G32,0)</f>
        <v>0.7</v>
      </c>
    </row>
    <row r="5" spans="1:7" ht="21.75" customHeight="1" thickBot="1">
      <c r="A5" s="2" t="s">
        <v>3</v>
      </c>
      <c r="B5" s="6">
        <v>48</v>
      </c>
      <c r="C5" s="14">
        <v>24</v>
      </c>
      <c r="D5" s="14">
        <v>12</v>
      </c>
      <c r="E5" s="14">
        <v>6</v>
      </c>
      <c r="F5" s="14">
        <v>3</v>
      </c>
    </row>
    <row r="6" spans="1:7" ht="21.75" customHeight="1"/>
    <row r="7" spans="1:7" ht="21.75" customHeight="1"/>
    <row r="8" spans="1:7" ht="21.75" customHeight="1">
      <c r="A8" s="26" t="s">
        <v>4</v>
      </c>
      <c r="B8" s="27"/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 spans="1:7" ht="21.75" customHeight="1">
      <c r="A9" s="20" t="s">
        <v>10</v>
      </c>
      <c r="B9" s="13" t="s">
        <v>11</v>
      </c>
      <c r="C9" s="6" t="s">
        <v>11</v>
      </c>
    </row>
    <row r="10" spans="1:7" ht="21.75" customHeight="1">
      <c r="A10" s="19"/>
      <c r="B10" s="13" t="s">
        <v>82</v>
      </c>
      <c r="D10" s="6" t="s">
        <v>12</v>
      </c>
    </row>
    <row r="11" spans="1:7" ht="21.75" customHeight="1">
      <c r="A11" s="18" t="s">
        <v>13</v>
      </c>
      <c r="B11" s="13" t="s">
        <v>12</v>
      </c>
      <c r="C11" s="6" t="s">
        <v>12</v>
      </c>
      <c r="E11" s="15" t="s">
        <v>12</v>
      </c>
    </row>
    <row r="12" spans="1:7" ht="21.75" customHeight="1">
      <c r="A12" s="19"/>
      <c r="B12" s="13" t="s">
        <v>14</v>
      </c>
      <c r="E12" s="16"/>
    </row>
    <row r="13" spans="1:7" ht="21.75" customHeight="1">
      <c r="A13" s="18" t="s">
        <v>15</v>
      </c>
      <c r="B13" s="13" t="s">
        <v>16</v>
      </c>
      <c r="C13" s="6" t="s">
        <v>17</v>
      </c>
      <c r="E13" s="17"/>
    </row>
    <row r="14" spans="1:7" ht="21.75" customHeight="1">
      <c r="A14" s="19"/>
      <c r="B14" s="13" t="s">
        <v>17</v>
      </c>
      <c r="D14" s="6" t="s">
        <v>18</v>
      </c>
      <c r="F14" s="15" t="s">
        <v>12</v>
      </c>
    </row>
    <row r="15" spans="1:7" ht="21.75" customHeight="1">
      <c r="A15" s="18" t="s">
        <v>19</v>
      </c>
      <c r="B15" s="13" t="s">
        <v>18</v>
      </c>
      <c r="C15" s="6" t="s">
        <v>18</v>
      </c>
      <c r="F15" s="16"/>
    </row>
    <row r="16" spans="1:7" ht="21.75" customHeight="1">
      <c r="A16" s="19"/>
      <c r="B16" s="13" t="s">
        <v>20</v>
      </c>
      <c r="F16" s="16"/>
    </row>
    <row r="17" spans="1:7" ht="21.75" customHeight="1">
      <c r="A17" s="18" t="s">
        <v>21</v>
      </c>
      <c r="B17" s="13" t="s">
        <v>22</v>
      </c>
      <c r="C17" s="6" t="s">
        <v>22</v>
      </c>
      <c r="F17" s="16"/>
    </row>
    <row r="18" spans="1:7" ht="21.75" customHeight="1">
      <c r="A18" s="19"/>
      <c r="B18" s="13" t="s">
        <v>61</v>
      </c>
      <c r="D18" s="6" t="s">
        <v>22</v>
      </c>
      <c r="F18" s="17"/>
    </row>
    <row r="19" spans="1:7" ht="21.75" customHeight="1">
      <c r="A19" s="18" t="s">
        <v>25</v>
      </c>
      <c r="B19" s="13" t="s">
        <v>24</v>
      </c>
      <c r="C19" s="6" t="s">
        <v>24</v>
      </c>
      <c r="E19" s="15" t="s">
        <v>22</v>
      </c>
      <c r="G19" s="15" t="s">
        <v>37</v>
      </c>
    </row>
    <row r="20" spans="1:7" ht="21.75" customHeight="1">
      <c r="A20" s="19"/>
      <c r="B20" s="13" t="s">
        <v>40</v>
      </c>
      <c r="E20" s="16"/>
      <c r="G20" s="16"/>
    </row>
    <row r="21" spans="1:7" ht="21.75" customHeight="1">
      <c r="A21" s="18" t="s">
        <v>27</v>
      </c>
      <c r="B21" s="13" t="s">
        <v>28</v>
      </c>
      <c r="C21" s="6" t="s">
        <v>28</v>
      </c>
      <c r="E21" s="17"/>
      <c r="G21" s="16"/>
    </row>
    <row r="22" spans="1:7" ht="21.75" customHeight="1">
      <c r="A22" s="19"/>
      <c r="B22" s="13" t="s">
        <v>83</v>
      </c>
      <c r="D22" s="6" t="s">
        <v>81</v>
      </c>
      <c r="G22" s="16"/>
    </row>
    <row r="23" spans="1:7" ht="21.75" customHeight="1">
      <c r="A23" s="18" t="s">
        <v>29</v>
      </c>
      <c r="B23" s="13" t="s">
        <v>81</v>
      </c>
      <c r="C23" s="6" t="s">
        <v>81</v>
      </c>
      <c r="G23" s="16"/>
    </row>
    <row r="24" spans="1:7" ht="21.75" customHeight="1">
      <c r="A24" s="19"/>
      <c r="B24" s="13" t="s">
        <v>35</v>
      </c>
      <c r="G24" s="16"/>
    </row>
    <row r="25" spans="1:7" ht="21.75" customHeight="1">
      <c r="A25" s="18" t="s">
        <v>30</v>
      </c>
      <c r="B25" s="13" t="s">
        <v>31</v>
      </c>
      <c r="C25" s="6" t="s">
        <v>31</v>
      </c>
      <c r="G25" s="16"/>
    </row>
    <row r="26" spans="1:7" ht="21.75" customHeight="1">
      <c r="A26" s="19"/>
      <c r="B26" s="13" t="s">
        <v>59</v>
      </c>
      <c r="D26" s="6" t="s">
        <v>31</v>
      </c>
      <c r="G26" s="16"/>
    </row>
    <row r="27" spans="1:7" ht="21.75" customHeight="1" thickBot="1">
      <c r="A27" s="18" t="s">
        <v>32</v>
      </c>
      <c r="B27" s="13" t="s">
        <v>33</v>
      </c>
      <c r="C27" s="6" t="s">
        <v>49</v>
      </c>
      <c r="E27" s="15" t="s">
        <v>31</v>
      </c>
      <c r="G27" s="16"/>
    </row>
    <row r="28" spans="1:7" ht="21.75" customHeight="1" thickBot="1">
      <c r="A28" s="19"/>
      <c r="B28" s="13" t="s">
        <v>49</v>
      </c>
      <c r="E28" s="16"/>
      <c r="G28" s="16"/>
    </row>
    <row r="29" spans="1:7" ht="21.75" customHeight="1" thickBot="1">
      <c r="A29" s="18" t="s">
        <v>36</v>
      </c>
      <c r="B29" s="13" t="s">
        <v>34</v>
      </c>
      <c r="C29" s="6" t="s">
        <v>34</v>
      </c>
      <c r="E29" s="17"/>
      <c r="G29" s="17"/>
    </row>
    <row r="30" spans="1:7" ht="21.75" customHeight="1">
      <c r="A30" s="19"/>
      <c r="B30" s="13" t="s">
        <v>48</v>
      </c>
      <c r="D30" s="6" t="s">
        <v>34</v>
      </c>
      <c r="F30" s="15" t="s">
        <v>37</v>
      </c>
    </row>
    <row r="31" spans="1:7" ht="21.75" customHeight="1">
      <c r="A31" s="18" t="s">
        <v>38</v>
      </c>
      <c r="B31" s="13" t="s">
        <v>39</v>
      </c>
      <c r="C31" s="6" t="s">
        <v>39</v>
      </c>
      <c r="F31" s="16"/>
    </row>
    <row r="32" spans="1:7" ht="21.75" customHeight="1">
      <c r="A32" s="19"/>
      <c r="B32" s="13" t="s">
        <v>60</v>
      </c>
      <c r="F32" s="16"/>
    </row>
    <row r="33" spans="1:6" ht="21.75" customHeight="1">
      <c r="A33" s="18" t="s">
        <v>41</v>
      </c>
      <c r="B33" s="13" t="s">
        <v>37</v>
      </c>
      <c r="C33" s="6" t="s">
        <v>37</v>
      </c>
      <c r="F33" s="16"/>
    </row>
    <row r="34" spans="1:6" ht="21.75" customHeight="1">
      <c r="A34" s="19"/>
      <c r="B34" s="13" t="s">
        <v>42</v>
      </c>
      <c r="D34" s="6" t="s">
        <v>37</v>
      </c>
      <c r="F34" s="17"/>
    </row>
    <row r="35" spans="1:6" ht="21.75" customHeight="1">
      <c r="A35" s="18" t="s">
        <v>43</v>
      </c>
      <c r="B35" s="13" t="s">
        <v>44</v>
      </c>
      <c r="C35" s="6" t="s">
        <v>45</v>
      </c>
      <c r="E35" s="15" t="s">
        <v>37</v>
      </c>
    </row>
    <row r="36" spans="1:6" ht="21.75" customHeight="1">
      <c r="A36" s="19"/>
      <c r="B36" s="13" t="s">
        <v>45</v>
      </c>
      <c r="E36" s="16"/>
    </row>
    <row r="37" spans="1:6" ht="21.75" customHeight="1">
      <c r="A37" s="18" t="s">
        <v>46</v>
      </c>
      <c r="B37" s="13" t="s">
        <v>47</v>
      </c>
      <c r="C37" s="6" t="s">
        <v>47</v>
      </c>
      <c r="E37" s="17"/>
    </row>
    <row r="38" spans="1:6" ht="21.75" customHeight="1">
      <c r="A38" s="19"/>
      <c r="B38" s="13" t="s">
        <v>26</v>
      </c>
      <c r="D38" s="6" t="s">
        <v>62</v>
      </c>
    </row>
    <row r="39" spans="1:6" ht="21.75" customHeight="1">
      <c r="A39" s="18" t="s">
        <v>50</v>
      </c>
      <c r="B39" s="13" t="s">
        <v>62</v>
      </c>
      <c r="C39" s="6" t="s">
        <v>62</v>
      </c>
    </row>
    <row r="40" spans="1:6" ht="21.75" customHeight="1">
      <c r="A40" s="19"/>
      <c r="B40" s="13" t="s">
        <v>23</v>
      </c>
    </row>
    <row r="41" spans="1:6" ht="21.75" customHeight="1"/>
    <row r="42" spans="1:6" ht="21.75" customHeight="1"/>
    <row r="43" spans="1:6" ht="21.75" customHeight="1"/>
    <row r="44" spans="1:6" ht="21.75" customHeight="1"/>
    <row r="45" spans="1:6" ht="21.75" customHeight="1"/>
    <row r="46" spans="1:6" ht="21.75" customHeight="1"/>
    <row r="47" spans="1:6" ht="21.7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26">
    <mergeCell ref="A39:A40"/>
    <mergeCell ref="E35:E37"/>
    <mergeCell ref="A11:A12"/>
    <mergeCell ref="A13:A14"/>
    <mergeCell ref="A15:A16"/>
    <mergeCell ref="A17:A18"/>
    <mergeCell ref="A37:A38"/>
    <mergeCell ref="E19:E21"/>
    <mergeCell ref="A33:A34"/>
    <mergeCell ref="A35:A36"/>
    <mergeCell ref="A9:A10"/>
    <mergeCell ref="A1:G1"/>
    <mergeCell ref="B3:D3"/>
    <mergeCell ref="A8:B8"/>
    <mergeCell ref="E11:E13"/>
    <mergeCell ref="F14:F18"/>
    <mergeCell ref="G19:G29"/>
    <mergeCell ref="E27:E29"/>
    <mergeCell ref="F30:F34"/>
    <mergeCell ref="A19:A20"/>
    <mergeCell ref="A21:A22"/>
    <mergeCell ref="A23:A24"/>
    <mergeCell ref="A31:A32"/>
    <mergeCell ref="A25:A26"/>
    <mergeCell ref="A27:A28"/>
    <mergeCell ref="A29:A30"/>
  </mergeCells>
  <conditionalFormatting sqref="B5">
    <cfRule type="expression" dxfId="36" priority="2">
      <formula>ISBLANK(B5)</formula>
    </cfRule>
  </conditionalFormatting>
  <conditionalFormatting sqref="B3:D3">
    <cfRule type="expression" dxfId="34" priority="38">
      <formula>NOT(ISBLANK(B3))</formula>
    </cfRule>
  </conditionalFormatting>
  <conditionalFormatting sqref="B5:F5">
    <cfRule type="expression" dxfId="33" priority="1">
      <formula>NOT(ISBLANK(B5))</formula>
    </cfRule>
  </conditionalFormatting>
  <conditionalFormatting sqref="C9 D10 C11 E11:E13 C13 D14 F14:F18 C15 C17 D18 C19 E19:E21 G19:G29 C21 D22 C23 C25 D26 C27 E27:E29 C29 D30 F30:F34 C31 C33 D34 C35 E35:E37 C37 D38 C39">
    <cfRule type="expression" dxfId="32" priority="5">
      <formula>NOT(ISBLANK(C9))</formula>
    </cfRule>
    <cfRule type="expression" dxfId="31" priority="6">
      <formula>ISBLANK(C9)</formula>
    </cfRule>
  </conditionalFormatting>
  <dataValidations count="31">
    <dataValidation type="list" allowBlank="1" sqref="D14" xr:uid="{00000000-0002-0000-0000-000000000000}">
      <formula1>$C$13:$C$15</formula1>
    </dataValidation>
    <dataValidation type="list" allowBlank="1" sqref="D18" xr:uid="{00000000-0002-0000-0000-000001000000}">
      <formula1>$C$17:$C$19</formula1>
    </dataValidation>
    <dataValidation type="list" allowBlank="1" sqref="C39" xr:uid="{00000000-0002-0000-0000-000002000000}">
      <formula1>$B$39:$B$40</formula1>
    </dataValidation>
    <dataValidation type="list" allowBlank="1" sqref="C35" xr:uid="{00000000-0002-0000-0000-000004000000}">
      <formula1>$B$35:$B$36</formula1>
    </dataValidation>
    <dataValidation type="list" allowBlank="1" sqref="C31" xr:uid="{00000000-0002-0000-0000-000005000000}">
      <formula1>$B$31:$B$32</formula1>
    </dataValidation>
    <dataValidation type="list" allowBlank="1" sqref="C23" xr:uid="{00000000-0002-0000-0000-000006000000}">
      <formula1>$B$23:$B$24</formula1>
    </dataValidation>
    <dataValidation type="list" allowBlank="1" sqref="C27" xr:uid="{00000000-0002-0000-0000-000007000000}">
      <formula1>$B$27:$B$28</formula1>
    </dataValidation>
    <dataValidation type="list" allowBlank="1" sqref="C11" xr:uid="{00000000-0002-0000-0000-00000B000000}">
      <formula1>$B$11:$B$12</formula1>
    </dataValidation>
    <dataValidation type="list" allowBlank="1" sqref="D30" xr:uid="{00000000-0002-0000-0000-000013000000}">
      <formula1>$C$29:$C$31</formula1>
    </dataValidation>
    <dataValidation type="list" allowBlank="1" sqref="E19" xr:uid="{00000000-0002-0000-0000-000014000000}">
      <formula1>$D$18:$D$22</formula1>
    </dataValidation>
    <dataValidation type="list" allowBlank="1" sqref="C15" xr:uid="{00000000-0002-0000-0000-000015000000}">
      <formula1>$B$15:$B$16</formula1>
    </dataValidation>
    <dataValidation type="list" allowBlank="1" sqref="F30" xr:uid="{00000000-0002-0000-0000-000016000000}">
      <formula1>$E$27:$E$35</formula1>
    </dataValidation>
    <dataValidation type="list" allowBlank="1" sqref="E35" xr:uid="{00000000-0002-0000-0000-000018000000}">
      <formula1>$D$34:$D$38</formula1>
    </dataValidation>
    <dataValidation type="list" allowBlank="1" sqref="C37" xr:uid="{00000000-0002-0000-0000-000019000000}">
      <formula1>$B$37:$B$38</formula1>
    </dataValidation>
    <dataValidation type="list" allowBlank="1" sqref="C21" xr:uid="{00000000-0002-0000-0000-00001A000000}">
      <formula1>$B$21:$B$22</formula1>
    </dataValidation>
    <dataValidation type="list" allowBlank="1" sqref="C33" xr:uid="{00000000-0002-0000-0000-00001C000000}">
      <formula1>$B$33:$B$34</formula1>
    </dataValidation>
    <dataValidation type="list" allowBlank="1" sqref="C25" xr:uid="{00000000-0002-0000-0000-00001D000000}">
      <formula1>$B$25:$B$26</formula1>
    </dataValidation>
    <dataValidation type="list" allowBlank="1" sqref="C29" xr:uid="{00000000-0002-0000-0000-00001F000000}">
      <formula1>$B$29:$B$30</formula1>
    </dataValidation>
    <dataValidation type="list" allowBlank="1" sqref="E27" xr:uid="{00000000-0002-0000-0000-000020000000}">
      <formula1>$D$26:$D$30</formula1>
    </dataValidation>
    <dataValidation type="list" allowBlank="1" sqref="D38" xr:uid="{00000000-0002-0000-0000-000021000000}">
      <formula1>$C$37:$C$39</formula1>
    </dataValidation>
    <dataValidation type="list" allowBlank="1" sqref="F14" xr:uid="{00000000-0002-0000-0000-000022000000}">
      <formula1>$E$11:$E$19</formula1>
    </dataValidation>
    <dataValidation type="list" allowBlank="1" sqref="D34" xr:uid="{00000000-0002-0000-0000-000024000000}">
      <formula1>$C$33:$C$35</formula1>
    </dataValidation>
    <dataValidation type="list" allowBlank="1" sqref="D22" xr:uid="{00000000-0002-0000-0000-000025000000}">
      <formula1>$C$21:$C$23</formula1>
    </dataValidation>
    <dataValidation type="list" allowBlank="1" sqref="C9" xr:uid="{00000000-0002-0000-0000-000027000000}">
      <formula1>$B$9:$B$10</formula1>
    </dataValidation>
    <dataValidation type="list" allowBlank="1" sqref="D26" xr:uid="{00000000-0002-0000-0000-000028000000}">
      <formula1>$C$25:$C$27</formula1>
    </dataValidation>
    <dataValidation type="list" allowBlank="1" sqref="C19" xr:uid="{00000000-0002-0000-0000-000029000000}">
      <formula1>$B$19:$B$20</formula1>
    </dataValidation>
    <dataValidation type="list" allowBlank="1" sqref="C17" xr:uid="{00000000-0002-0000-0000-00002B000000}">
      <formula1>$B$17:$B$18</formula1>
    </dataValidation>
    <dataValidation type="list" allowBlank="1" sqref="D10" xr:uid="{00000000-0002-0000-0000-00002D000000}">
      <formula1>$C$9:$C$11</formula1>
    </dataValidation>
    <dataValidation type="list" allowBlank="1" sqref="C13" xr:uid="{00000000-0002-0000-0000-00002E000000}">
      <formula1>$B$13:$B$14</formula1>
    </dataValidation>
    <dataValidation type="list" allowBlank="1" sqref="G19" xr:uid="{00000000-0002-0000-0000-00002F000000}">
      <formula1>$F$14:$F$30</formula1>
    </dataValidation>
    <dataValidation type="list" allowBlank="1" sqref="E11" xr:uid="{00000000-0002-0000-0000-000030000000}">
      <formula1>$D$10:$D$14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F2B0AAFE-4AA2-4622-BCD1-67B9FEABBFA8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ellIs" priority="40" operator="equal" id="{F500DB49-1AF7-449B-9803-5326147BB598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37" operator="equal" id="{3E1BD262-3C57-45C2-8BD0-773C627C653C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35" operator="equal" id="{162395B9-BFE8-4368-B582-9A06B88127E7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4" operator="equal" id="{55515F9B-700B-450B-B8E9-3C38FA8C1E05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3" operator="equal" id="{23FD78BC-011F-4330-B323-3975E4D64F80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2" operator="equal" id="{7973A069-7D8F-4113-BD9F-9E8B6775134B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1" operator="equal" id="{02905B90-028A-40A8-9DED-CA0D6B10C379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0" operator="equal" id="{38F52056-3BDE-4B1F-86B2-D4972C325AED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29" operator="equal" id="{A9C6AC31-A4B6-4CEF-94CA-2E8CC6644E56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28" operator="equal" id="{F9580732-B3EA-4C6A-94F2-6B91485D133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27" operator="equal" id="{CB073CD1-438E-4AA6-A7A4-57E4178FE2CE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26" operator="equal" id="{F44FF9B9-9B80-49B0-BC4C-374E36206F19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5" operator="equal" id="{C03BA784-CE92-4491-8EC9-5ADD289B742E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4" operator="equal" id="{CF8A69B6-6334-4F09-8423-1F22883F71E9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3" operator="equal" id="{A7C6042C-E53C-446A-AF53-DE9FCA992FC3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2" operator="equal" id="{BDFED8A3-509E-4F0B-92C7-39DE9076867F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1" operator="equal" id="{495EAA32-DBFC-4FB3-807C-5871AF8BFE53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0" operator="equal" id="{6C40D7A7-3B3A-4CA9-93E0-BC82D826A761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19" operator="equal" id="{0FD56F5F-C936-4BF0-889E-037FBA177501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18" operator="equal" id="{FC9D5BA5-6D02-4B69-A5EA-EDFE6339D6A0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17" operator="equal" id="{D125D086-0906-4ADB-826C-D7C8AA6C1FFD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6" operator="equal" id="{58AE8732-5733-4F3B-97CD-34CF8EA4C060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5" operator="equal" id="{800430F4-2FE7-4224-834E-AD77BDA4044C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4" operator="equal" id="{EA720193-7885-4F05-B298-45BA2914F7DF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3" operator="equal" id="{05764F04-7550-478B-872D-6E4DC2A7F1C3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2" operator="equal" id="{AB3C247B-B208-4A6B-9186-10BCD00B1748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1" operator="equal" id="{FF9C96A1-3E70-41E1-9719-040BDA55854C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0" operator="equal" id="{B4171FD0-9DB3-4897-9065-89C0B9EA8035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9" operator="equal" id="{04383F48-304C-47B2-B251-76019E62E287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8" operator="equal" id="{4D8AB7A1-A37F-4F5D-AA4D-DAA2C31C9838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7" operator="equal" id="{87A475CE-90BF-4924-8DD7-14EF98BCEAF6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J4" sqref="J4"/>
    </sheetView>
  </sheetViews>
  <sheetFormatPr defaultColWidth="14.36328125" defaultRowHeight="15" customHeight="1"/>
  <cols>
    <col min="1" max="1" width="9.08984375" bestFit="1" customWidth="1"/>
    <col min="2" max="2" width="7.36328125" bestFit="1" customWidth="1"/>
    <col min="3" max="3" width="13.08984375" bestFit="1" customWidth="1"/>
    <col min="4" max="4" width="11.90625" bestFit="1" customWidth="1"/>
    <col min="5" max="5" width="14.6328125" bestFit="1" customWidth="1"/>
    <col min="6" max="6" width="13.36328125" bestFit="1" customWidth="1"/>
    <col min="7" max="7" width="7.6328125" bestFit="1" customWidth="1"/>
    <col min="8" max="11" width="8.81640625" customWidth="1"/>
  </cols>
  <sheetData>
    <row r="1" spans="1:7" ht="13.5" customHeight="1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</row>
    <row r="2" spans="1:7" ht="13.5" customHeight="1">
      <c r="A2" s="8" t="s">
        <v>10</v>
      </c>
      <c r="B2" s="8" t="s">
        <v>58</v>
      </c>
      <c r="C2" s="8" t="s">
        <v>11</v>
      </c>
      <c r="D2" s="8" t="s">
        <v>82</v>
      </c>
      <c r="E2" s="9"/>
      <c r="F2" s="9"/>
      <c r="G2" s="8">
        <v>1</v>
      </c>
    </row>
    <row r="3" spans="1:7" ht="13.5" customHeight="1">
      <c r="A3" s="8" t="s">
        <v>13</v>
      </c>
      <c r="B3" s="8" t="s">
        <v>58</v>
      </c>
      <c r="C3" s="8" t="s">
        <v>12</v>
      </c>
      <c r="D3" s="8" t="s">
        <v>14</v>
      </c>
      <c r="E3" s="9"/>
      <c r="F3" s="9"/>
      <c r="G3" s="8">
        <v>1</v>
      </c>
    </row>
    <row r="4" spans="1:7" ht="13.5" customHeight="1">
      <c r="A4" s="8" t="s">
        <v>15</v>
      </c>
      <c r="B4" s="8" t="s">
        <v>58</v>
      </c>
      <c r="C4" s="8" t="s">
        <v>16</v>
      </c>
      <c r="D4" s="8" t="s">
        <v>17</v>
      </c>
      <c r="E4" s="9"/>
      <c r="F4" s="9"/>
      <c r="G4" s="8">
        <v>1</v>
      </c>
    </row>
    <row r="5" spans="1:7" ht="13.5" customHeight="1">
      <c r="A5" s="8" t="s">
        <v>19</v>
      </c>
      <c r="B5" s="8" t="s">
        <v>58</v>
      </c>
      <c r="C5" s="8" t="s">
        <v>18</v>
      </c>
      <c r="D5" s="8" t="s">
        <v>20</v>
      </c>
      <c r="E5" s="9"/>
      <c r="F5" s="9"/>
      <c r="G5" s="8">
        <v>1</v>
      </c>
    </row>
    <row r="6" spans="1:7" ht="13.5" customHeight="1">
      <c r="A6" s="8" t="s">
        <v>21</v>
      </c>
      <c r="B6" s="8" t="s">
        <v>58</v>
      </c>
      <c r="C6" s="8" t="s">
        <v>22</v>
      </c>
      <c r="D6" s="8" t="s">
        <v>61</v>
      </c>
      <c r="E6" s="9"/>
      <c r="F6" s="9"/>
      <c r="G6" s="8">
        <v>1</v>
      </c>
    </row>
    <row r="7" spans="1:7" ht="13.5" customHeight="1">
      <c r="A7" s="8" t="s">
        <v>25</v>
      </c>
      <c r="B7" s="8" t="s">
        <v>58</v>
      </c>
      <c r="C7" s="8" t="s">
        <v>24</v>
      </c>
      <c r="D7" s="8" t="s">
        <v>40</v>
      </c>
      <c r="E7" s="9"/>
      <c r="F7" s="9"/>
      <c r="G7" s="8">
        <v>1</v>
      </c>
    </row>
    <row r="8" spans="1:7" ht="13.5" customHeight="1">
      <c r="A8" s="8" t="s">
        <v>27</v>
      </c>
      <c r="B8" s="8" t="s">
        <v>58</v>
      </c>
      <c r="C8" s="8" t="s">
        <v>28</v>
      </c>
      <c r="D8" s="8" t="s">
        <v>83</v>
      </c>
      <c r="E8" s="9"/>
      <c r="F8" s="9"/>
      <c r="G8" s="8">
        <v>1</v>
      </c>
    </row>
    <row r="9" spans="1:7" ht="13.5" customHeight="1">
      <c r="A9" s="8" t="s">
        <v>29</v>
      </c>
      <c r="B9" s="8" t="s">
        <v>58</v>
      </c>
      <c r="C9" s="8" t="s">
        <v>81</v>
      </c>
      <c r="D9" s="8" t="s">
        <v>35</v>
      </c>
      <c r="E9" s="9"/>
      <c r="F9" s="9"/>
      <c r="G9" s="8">
        <v>1</v>
      </c>
    </row>
    <row r="10" spans="1:7" ht="13.5" customHeight="1">
      <c r="A10" s="8" t="s">
        <v>30</v>
      </c>
      <c r="B10" s="8" t="s">
        <v>58</v>
      </c>
      <c r="C10" s="8" t="s">
        <v>31</v>
      </c>
      <c r="D10" s="8" t="s">
        <v>59</v>
      </c>
      <c r="E10" s="9"/>
      <c r="F10" s="9"/>
      <c r="G10" s="8">
        <v>1</v>
      </c>
    </row>
    <row r="11" spans="1:7" ht="13.5" customHeight="1">
      <c r="A11" s="8" t="s">
        <v>32</v>
      </c>
      <c r="B11" s="8" t="s">
        <v>58</v>
      </c>
      <c r="C11" s="8" t="s">
        <v>33</v>
      </c>
      <c r="D11" s="8" t="s">
        <v>49</v>
      </c>
      <c r="E11" s="9"/>
      <c r="F11" s="9"/>
      <c r="G11" s="8">
        <v>1</v>
      </c>
    </row>
    <row r="12" spans="1:7" ht="13.5" customHeight="1">
      <c r="A12" s="8" t="s">
        <v>36</v>
      </c>
      <c r="B12" s="8" t="s">
        <v>58</v>
      </c>
      <c r="C12" s="8" t="s">
        <v>34</v>
      </c>
      <c r="D12" s="8" t="s">
        <v>48</v>
      </c>
      <c r="E12" s="9"/>
      <c r="F12" s="9"/>
      <c r="G12" s="8">
        <v>1</v>
      </c>
    </row>
    <row r="13" spans="1:7" ht="13.5" customHeight="1">
      <c r="A13" s="8" t="s">
        <v>38</v>
      </c>
      <c r="B13" s="8" t="s">
        <v>58</v>
      </c>
      <c r="C13" s="8" t="s">
        <v>39</v>
      </c>
      <c r="D13" s="8" t="s">
        <v>60</v>
      </c>
      <c r="E13" s="9"/>
      <c r="F13" s="9"/>
      <c r="G13" s="8">
        <v>1</v>
      </c>
    </row>
    <row r="14" spans="1:7" ht="13.5" customHeight="1">
      <c r="A14" s="8" t="s">
        <v>41</v>
      </c>
      <c r="B14" s="8" t="s">
        <v>58</v>
      </c>
      <c r="C14" s="8" t="s">
        <v>37</v>
      </c>
      <c r="D14" s="8" t="s">
        <v>42</v>
      </c>
      <c r="E14" s="9"/>
      <c r="F14" s="9"/>
      <c r="G14" s="8">
        <v>1</v>
      </c>
    </row>
    <row r="15" spans="1:7" ht="13.5" customHeight="1">
      <c r="A15" s="8" t="s">
        <v>43</v>
      </c>
      <c r="B15" s="8" t="s">
        <v>58</v>
      </c>
      <c r="C15" s="8" t="s">
        <v>44</v>
      </c>
      <c r="D15" s="8" t="s">
        <v>45</v>
      </c>
      <c r="E15" s="9"/>
      <c r="F15" s="9"/>
      <c r="G15" s="8">
        <v>1</v>
      </c>
    </row>
    <row r="16" spans="1:7" ht="13.5" customHeight="1">
      <c r="A16" s="8" t="s">
        <v>46</v>
      </c>
      <c r="B16" s="8" t="s">
        <v>58</v>
      </c>
      <c r="C16" s="8" t="s">
        <v>47</v>
      </c>
      <c r="D16" s="8" t="s">
        <v>26</v>
      </c>
      <c r="E16" s="9"/>
      <c r="F16" s="9"/>
      <c r="G16" s="8">
        <v>1</v>
      </c>
    </row>
    <row r="17" spans="1:7" ht="13.5" customHeight="1">
      <c r="A17" s="8" t="s">
        <v>50</v>
      </c>
      <c r="B17" s="8" t="s">
        <v>58</v>
      </c>
      <c r="C17" s="8" t="s">
        <v>62</v>
      </c>
      <c r="D17" s="8" t="s">
        <v>23</v>
      </c>
      <c r="E17" s="9"/>
      <c r="F17" s="9"/>
      <c r="G17" s="8">
        <v>1</v>
      </c>
    </row>
    <row r="18" spans="1:7" ht="13.5" customHeight="1">
      <c r="A18" s="8" t="s">
        <v>63</v>
      </c>
      <c r="B18" s="8" t="s">
        <v>64</v>
      </c>
      <c r="C18" s="8">
        <f>E2</f>
        <v>0</v>
      </c>
      <c r="D18" s="8">
        <f>E3</f>
        <v>0</v>
      </c>
      <c r="E18" s="9"/>
      <c r="F18" s="9"/>
      <c r="G18" s="8">
        <v>2</v>
      </c>
    </row>
    <row r="19" spans="1:7" ht="13.5" customHeight="1">
      <c r="A19" s="8" t="s">
        <v>65</v>
      </c>
      <c r="B19" s="8" t="s">
        <v>64</v>
      </c>
      <c r="C19" s="8">
        <f>E4</f>
        <v>0</v>
      </c>
      <c r="D19" s="8">
        <f>E5</f>
        <v>0</v>
      </c>
      <c r="E19" s="9"/>
      <c r="F19" s="9"/>
      <c r="G19" s="8">
        <v>2</v>
      </c>
    </row>
    <row r="20" spans="1:7" ht="13.5" customHeight="1">
      <c r="A20" s="8" t="s">
        <v>66</v>
      </c>
      <c r="B20" s="8" t="s">
        <v>64</v>
      </c>
      <c r="C20" s="8">
        <f>E6</f>
        <v>0</v>
      </c>
      <c r="D20" s="8">
        <f>E7</f>
        <v>0</v>
      </c>
      <c r="E20" s="9"/>
      <c r="F20" s="9"/>
      <c r="G20" s="8">
        <v>2</v>
      </c>
    </row>
    <row r="21" spans="1:7" ht="13.5" customHeight="1">
      <c r="A21" s="8" t="s">
        <v>67</v>
      </c>
      <c r="B21" s="8" t="s">
        <v>64</v>
      </c>
      <c r="C21" s="8">
        <f>E8</f>
        <v>0</v>
      </c>
      <c r="D21" s="8">
        <f>E9</f>
        <v>0</v>
      </c>
      <c r="E21" s="9"/>
      <c r="F21" s="9"/>
      <c r="G21" s="8">
        <v>2</v>
      </c>
    </row>
    <row r="22" spans="1:7" ht="13.5" customHeight="1">
      <c r="A22" s="8" t="s">
        <v>68</v>
      </c>
      <c r="B22" s="8" t="s">
        <v>64</v>
      </c>
      <c r="C22" s="8">
        <f>E10</f>
        <v>0</v>
      </c>
      <c r="D22" s="8">
        <f>E11</f>
        <v>0</v>
      </c>
      <c r="E22" s="9"/>
      <c r="F22" s="9"/>
      <c r="G22" s="8">
        <v>2</v>
      </c>
    </row>
    <row r="23" spans="1:7" ht="13.5" customHeight="1">
      <c r="A23" s="8" t="s">
        <v>69</v>
      </c>
      <c r="B23" s="8" t="s">
        <v>64</v>
      </c>
      <c r="C23" s="8">
        <f>E12</f>
        <v>0</v>
      </c>
      <c r="D23" s="8">
        <f>E13</f>
        <v>0</v>
      </c>
      <c r="E23" s="9"/>
      <c r="F23" s="9"/>
      <c r="G23" s="8">
        <v>2</v>
      </c>
    </row>
    <row r="24" spans="1:7" ht="13.5" customHeight="1">
      <c r="A24" s="8" t="s">
        <v>70</v>
      </c>
      <c r="B24" s="8" t="s">
        <v>64</v>
      </c>
      <c r="C24" s="8">
        <f>E14</f>
        <v>0</v>
      </c>
      <c r="D24" s="8">
        <f>E15</f>
        <v>0</v>
      </c>
      <c r="E24" s="9"/>
      <c r="F24" s="9"/>
      <c r="G24" s="8">
        <v>2</v>
      </c>
    </row>
    <row r="25" spans="1:7" ht="13.5" customHeight="1">
      <c r="A25" s="8" t="s">
        <v>71</v>
      </c>
      <c r="B25" s="8" t="s">
        <v>64</v>
      </c>
      <c r="C25" s="8">
        <f>E16</f>
        <v>0</v>
      </c>
      <c r="D25" s="8">
        <f>E17</f>
        <v>0</v>
      </c>
      <c r="E25" s="9"/>
      <c r="F25" s="9"/>
      <c r="G25" s="8">
        <v>2</v>
      </c>
    </row>
    <row r="26" spans="1:7" ht="13.5" customHeight="1">
      <c r="A26" s="8" t="s">
        <v>72</v>
      </c>
      <c r="B26" s="8" t="s">
        <v>73</v>
      </c>
      <c r="C26" s="8">
        <f>E18</f>
        <v>0</v>
      </c>
      <c r="D26" s="8">
        <f>E19</f>
        <v>0</v>
      </c>
      <c r="E26" s="9"/>
      <c r="F26" s="9"/>
      <c r="G26" s="8">
        <v>4</v>
      </c>
    </row>
    <row r="27" spans="1:7" ht="13.5" customHeight="1">
      <c r="A27" s="8" t="s">
        <v>74</v>
      </c>
      <c r="B27" s="8" t="s">
        <v>73</v>
      </c>
      <c r="C27" s="8">
        <f>E20</f>
        <v>0</v>
      </c>
      <c r="D27" s="8">
        <f>E21</f>
        <v>0</v>
      </c>
      <c r="E27" s="9"/>
      <c r="F27" s="9"/>
      <c r="G27" s="8">
        <v>4</v>
      </c>
    </row>
    <row r="28" spans="1:7" ht="13.5" customHeight="1">
      <c r="A28" s="8" t="s">
        <v>75</v>
      </c>
      <c r="B28" s="8" t="s">
        <v>73</v>
      </c>
      <c r="C28" s="8">
        <f>E22</f>
        <v>0</v>
      </c>
      <c r="D28" s="8">
        <f>E23</f>
        <v>0</v>
      </c>
      <c r="E28" s="9"/>
      <c r="F28" s="9"/>
      <c r="G28" s="8">
        <v>4</v>
      </c>
    </row>
    <row r="29" spans="1:7" ht="13.5" customHeight="1">
      <c r="A29" s="8" t="s">
        <v>76</v>
      </c>
      <c r="B29" s="8" t="s">
        <v>73</v>
      </c>
      <c r="C29" s="8">
        <f>E24</f>
        <v>0</v>
      </c>
      <c r="D29" s="8">
        <f>E25</f>
        <v>0</v>
      </c>
      <c r="E29" s="9"/>
      <c r="F29" s="9"/>
      <c r="G29" s="8">
        <v>4</v>
      </c>
    </row>
    <row r="30" spans="1:7" ht="13.5" customHeight="1">
      <c r="A30" s="8" t="s">
        <v>77</v>
      </c>
      <c r="B30" s="8" t="s">
        <v>78</v>
      </c>
      <c r="C30" s="8">
        <f>E26</f>
        <v>0</v>
      </c>
      <c r="D30" s="8">
        <f>E27</f>
        <v>0</v>
      </c>
      <c r="E30" s="9"/>
      <c r="F30" s="9"/>
      <c r="G30" s="8">
        <v>8</v>
      </c>
    </row>
    <row r="31" spans="1:7" ht="13.5" customHeight="1">
      <c r="A31" s="8" t="s">
        <v>79</v>
      </c>
      <c r="B31" s="8" t="s">
        <v>78</v>
      </c>
      <c r="C31" s="8">
        <f>E28</f>
        <v>0</v>
      </c>
      <c r="D31" s="8">
        <f>E29</f>
        <v>0</v>
      </c>
      <c r="E31" s="9"/>
      <c r="F31" s="9"/>
      <c r="G31" s="8">
        <v>8</v>
      </c>
    </row>
    <row r="32" spans="1:7" ht="13.5" customHeight="1">
      <c r="A32" s="8" t="s">
        <v>80</v>
      </c>
      <c r="B32" s="8" t="s">
        <v>8</v>
      </c>
      <c r="C32" s="8">
        <f>E30</f>
        <v>0</v>
      </c>
      <c r="D32" s="8">
        <f>E31</f>
        <v>0</v>
      </c>
      <c r="E32" s="9"/>
      <c r="F32" s="9"/>
      <c r="G32" s="8">
        <v>16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Bracket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Pusch</dc:creator>
  <cp:keywords/>
  <dc:description/>
  <cp:lastModifiedBy>Jimmy Nguyen</cp:lastModifiedBy>
  <cp:revision/>
  <dcterms:created xsi:type="dcterms:W3CDTF">2026-06-25T22:54:24Z</dcterms:created>
  <dcterms:modified xsi:type="dcterms:W3CDTF">2026-06-29T19:37:25Z</dcterms:modified>
  <cp:category/>
  <cp:contentStatus/>
</cp:coreProperties>
</file>